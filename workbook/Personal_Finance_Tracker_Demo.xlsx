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F4B7FD79-E2A9-4C20-A59E-19F3D0B45CF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tart" sheetId="8" r:id="rId1"/>
    <sheet name="Transactions" sheetId="9" r:id="rId2"/>
    <sheet name="Accounts" sheetId="10" r:id="rId3"/>
    <sheet name="Categories" sheetId="11" r:id="rId4"/>
    <sheet name="Monthly Plan" sheetId="12" r:id="rId5"/>
    <sheet name="Summary" sheetId="13" r:id="rId6"/>
    <sheet name="_Lists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3" l="1"/>
  <c r="A18" i="13"/>
  <c r="B17" i="13"/>
  <c r="A17" i="13"/>
  <c r="B16" i="13"/>
  <c r="A16" i="13"/>
  <c r="B15" i="13"/>
  <c r="A15" i="13"/>
  <c r="B14" i="13"/>
  <c r="A14" i="13"/>
  <c r="I8" i="10"/>
  <c r="I9" i="10"/>
  <c r="I499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A2" i="14"/>
  <c r="B2" i="14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A40" i="14"/>
  <c r="B40" i="14"/>
  <c r="A41" i="14"/>
  <c r="B41" i="14"/>
  <c r="A42" i="14"/>
  <c r="B42" i="14"/>
  <c r="A43" i="14"/>
  <c r="B43" i="14"/>
  <c r="A44" i="14"/>
  <c r="B44" i="14"/>
  <c r="A45" i="14"/>
  <c r="B45" i="14"/>
  <c r="A46" i="14"/>
  <c r="B46" i="14"/>
  <c r="A47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D14" i="13"/>
  <c r="G14" i="13"/>
  <c r="I14" i="13" s="1"/>
  <c r="D15" i="13"/>
  <c r="G15" i="13"/>
  <c r="I15" i="13" s="1"/>
  <c r="D16" i="13"/>
  <c r="G16" i="13"/>
  <c r="D17" i="13"/>
  <c r="G17" i="13"/>
  <c r="D18" i="13"/>
  <c r="G18" i="13"/>
  <c r="I18" i="13" s="1"/>
  <c r="G19" i="13"/>
  <c r="I19" i="13" s="1"/>
  <c r="G20" i="13"/>
  <c r="G21" i="13"/>
  <c r="I21" i="13" s="1"/>
  <c r="G22" i="13"/>
  <c r="I22" i="13" s="1"/>
  <c r="G23" i="13"/>
  <c r="I23" i="13" s="1"/>
  <c r="G24" i="13"/>
  <c r="I24" i="13" s="1"/>
  <c r="G25" i="13"/>
  <c r="I25" i="13" s="1"/>
  <c r="G26" i="13"/>
  <c r="I26" i="13" s="1"/>
  <c r="C17" i="13"/>
  <c r="C18" i="13"/>
  <c r="J5" i="13" l="1"/>
  <c r="J9" i="13" s="1"/>
  <c r="H24" i="13"/>
  <c r="J24" i="13" s="1"/>
  <c r="H16" i="13"/>
  <c r="H14" i="13"/>
  <c r="J14" i="13" s="1"/>
  <c r="H20" i="13"/>
  <c r="H21" i="13"/>
  <c r="J21" i="13" s="1"/>
  <c r="H19" i="13"/>
  <c r="J19" i="13" s="1"/>
  <c r="H25" i="13"/>
  <c r="J25" i="13" s="1"/>
  <c r="H23" i="13"/>
  <c r="J23" i="13" s="1"/>
  <c r="H26" i="13"/>
  <c r="J26" i="13" s="1"/>
  <c r="H17" i="13"/>
  <c r="J17" i="13" s="1"/>
  <c r="A5" i="13"/>
  <c r="H22" i="13"/>
  <c r="J22" i="13" s="1"/>
  <c r="I7" i="10"/>
  <c r="D9" i="13" s="1"/>
  <c r="I20" i="13"/>
  <c r="I6" i="10"/>
  <c r="C15" i="13" s="1"/>
  <c r="E15" i="13" s="1"/>
  <c r="I17" i="13"/>
  <c r="I5" i="10"/>
  <c r="C14" i="13" s="1"/>
  <c r="E14" i="13" s="1"/>
  <c r="D5" i="13"/>
  <c r="G5" i="13"/>
  <c r="H15" i="13"/>
  <c r="J15" i="13" s="1"/>
  <c r="H18" i="13"/>
  <c r="J18" i="13" s="1"/>
  <c r="E17" i="13"/>
  <c r="E18" i="13"/>
  <c r="I16" i="13"/>
  <c r="J20" i="13" l="1"/>
  <c r="J16" i="13"/>
  <c r="C16" i="13"/>
  <c r="E16" i="13" s="1"/>
  <c r="A9" i="13"/>
  <c r="G9" i="13" s="1"/>
</calcChain>
</file>

<file path=xl/sharedStrings.xml><?xml version="1.0" encoding="utf-8"?>
<sst xmlns="http://schemas.openxmlformats.org/spreadsheetml/2006/main" count="532" uniqueCount="198">
  <si>
    <t>Personal Finance Tracker V1</t>
  </si>
  <si>
    <t>Excel is the source of truth. Record each movement once, then refresh Power BI for analysis.</t>
  </si>
  <si>
    <t>Version</t>
  </si>
  <si>
    <t>V1.0</t>
  </si>
  <si>
    <t>Tracking Starts</t>
  </si>
  <si>
    <t>Currency</t>
  </si>
  <si>
    <t>VND</t>
  </si>
  <si>
    <t>Entry Goal</t>
  </si>
  <si>
    <t>&lt; 20 seconds</t>
  </si>
  <si>
    <t>Setup Checklist</t>
  </si>
  <si>
    <t>1</t>
  </si>
  <si>
    <t>Accounts</t>
  </si>
  <si>
    <t>Enter each opening balance as of the start of 01/09/2026.</t>
  </si>
  <si>
    <t>2</t>
  </si>
  <si>
    <t>Liabilities</t>
  </si>
  <si>
    <t>3</t>
  </si>
  <si>
    <t>Categories</t>
  </si>
  <si>
    <t>Review the default Need/Want and Fixed/Variable classifications.</t>
  </si>
  <si>
    <t>4</t>
  </si>
  <si>
    <t>Monthly Plan</t>
  </si>
  <si>
    <t>Daily Entry Rules</t>
  </si>
  <si>
    <t>Type</t>
  </si>
  <si>
    <t>From Account</t>
  </si>
  <si>
    <t>To Account</t>
  </si>
  <si>
    <t>Category</t>
  </si>
  <si>
    <t>Income KPI</t>
  </si>
  <si>
    <t>Expense KPI</t>
  </si>
  <si>
    <t>Balance Effect</t>
  </si>
  <si>
    <t>Typical Use</t>
  </si>
  <si>
    <t>Income</t>
  </si>
  <si>
    <t>—</t>
  </si>
  <si>
    <t>Asset</t>
  </si>
  <si>
    <t>Yes</t>
  </si>
  <si>
    <t>No</t>
  </si>
  <si>
    <t>Asset increases</t>
  </si>
  <si>
    <t>Salary received</t>
  </si>
  <si>
    <t>Expense</t>
  </si>
  <si>
    <t>Asset/Liability</t>
  </si>
  <si>
    <t>Asset falls or debt rises</t>
  </si>
  <si>
    <t>Purchase or fee</t>
  </si>
  <si>
    <t>Refund</t>
  </si>
  <si>
    <t>Original expense</t>
  </si>
  <si>
    <t>Reduces</t>
  </si>
  <si>
    <t>Asset rises or debt falls</t>
  </si>
  <si>
    <t>Merchant refund</t>
  </si>
  <si>
    <t>Transfer</t>
  </si>
  <si>
    <t>Tracked account</t>
  </si>
  <si>
    <t>Blank</t>
  </si>
  <si>
    <t>Moves natural balances</t>
  </si>
  <si>
    <t>Allocation</t>
  </si>
  <si>
    <t>Savings &amp; Investment</t>
  </si>
  <si>
    <t>Tracked cash falls</t>
  </si>
  <si>
    <t>Adjustment</t>
  </si>
  <si>
    <t>One side only</t>
  </si>
  <si>
    <t>Corrects one balance</t>
  </si>
  <si>
    <t>Resync an account</t>
  </si>
  <si>
    <t>Examples</t>
  </si>
  <si>
    <t>Scenario</t>
  </si>
  <si>
    <t>Amount</t>
  </si>
  <si>
    <t>From</t>
  </si>
  <si>
    <t>To</t>
  </si>
  <si>
    <t>Expense?</t>
  </si>
  <si>
    <t>Notes</t>
  </si>
  <si>
    <t>Salary</t>
  </si>
  <si>
    <t>Groceries &amp; Essentials</t>
  </si>
  <si>
    <t>Credit-card purchase</t>
  </si>
  <si>
    <t>Shopping</t>
  </si>
  <si>
    <t>Increases debt</t>
  </si>
  <si>
    <t>Pay credit card</t>
  </si>
  <si>
    <t>Counts toward target</t>
  </si>
  <si>
    <t>Model Convention</t>
  </si>
  <si>
    <t>Asset balance</t>
  </si>
  <si>
    <t>Opening Balance + To movements − From movements</t>
  </si>
  <si>
    <t>Liability balance</t>
  </si>
  <si>
    <t>Opening Debt + From movements − To movements</t>
  </si>
  <si>
    <t>Important</t>
  </si>
  <si>
    <t>Monthly Surplus is Income − Net Expense before Allocation; it is not a bank-balance reconciliation.</t>
  </si>
  <si>
    <t>Legend</t>
  </si>
  <si>
    <t>Blue font = editable input</t>
  </si>
  <si>
    <t>Green font = formula / linked result</t>
  </si>
  <si>
    <t>Yellow fill = setup needed</t>
  </si>
  <si>
    <t>Transactions</t>
  </si>
  <si>
    <t>Enter each real-world movement once. Entry Status flags only core rule conflicts.</t>
  </si>
  <si>
    <t>Date</t>
  </si>
  <si>
    <t>Merchant</t>
  </si>
  <si>
    <t>Note</t>
  </si>
  <si>
    <t>Entry Status</t>
  </si>
  <si>
    <t>Enter opening balances before the first tracked transaction. Liability balances are positive debt owed.</t>
  </si>
  <si>
    <t>Account Name</t>
  </si>
  <si>
    <t>Institution</t>
  </si>
  <si>
    <t>Account Type</t>
  </si>
  <si>
    <t>Account Class</t>
  </si>
  <si>
    <t>Opening Balance</t>
  </si>
  <si>
    <t>Opening Date</t>
  </si>
  <si>
    <t>Credit Limit</t>
  </si>
  <si>
    <t>Active</t>
  </si>
  <si>
    <t>Current Balance</t>
  </si>
  <si>
    <t>Bank</t>
  </si>
  <si>
    <t>E-wallet</t>
  </si>
  <si>
    <t>Credit Card</t>
  </si>
  <si>
    <t>Liability</t>
  </si>
  <si>
    <t>These classifications are defaults. Adjust them after real use shows what is useful.</t>
  </si>
  <si>
    <t>Category Name</t>
  </si>
  <si>
    <t>Category Group</t>
  </si>
  <si>
    <t>Allowed Type</t>
  </si>
  <si>
    <t>Need / Want</t>
  </si>
  <si>
    <t>Fixed / Variable</t>
  </si>
  <si>
    <t>N/A</t>
  </si>
  <si>
    <t>Other Income</t>
  </si>
  <si>
    <t>Food</t>
  </si>
  <si>
    <t>Need</t>
  </si>
  <si>
    <t>Variable</t>
  </si>
  <si>
    <t>Eating Out &amp; Drinks</t>
  </si>
  <si>
    <t>Want</t>
  </si>
  <si>
    <t>Transport</t>
  </si>
  <si>
    <t>Housing</t>
  </si>
  <si>
    <t>Fixed</t>
  </si>
  <si>
    <t>Utilities &amp; Mobile</t>
  </si>
  <si>
    <t>Education &amp; Career</t>
  </si>
  <si>
    <t>Education</t>
  </si>
  <si>
    <t>Health</t>
  </si>
  <si>
    <t>Lifestyle</t>
  </si>
  <si>
    <t>Entertainment &amp; Social</t>
  </si>
  <si>
    <t>Subscriptions</t>
  </si>
  <si>
    <t>Family &amp; Gifts</t>
  </si>
  <si>
    <t>Family</t>
  </si>
  <si>
    <t>Fees &amp; Interest</t>
  </si>
  <si>
    <t>Finance</t>
  </si>
  <si>
    <t>Other Expense</t>
  </si>
  <si>
    <t>Other</t>
  </si>
  <si>
    <t>Future</t>
  </si>
  <si>
    <t>Allocation target is separate from expense budgets. Add expense rows only when useful.</t>
  </si>
  <si>
    <t>Month</t>
  </si>
  <si>
    <t>Planned Amount</t>
  </si>
  <si>
    <t>Monthly Summary</t>
  </si>
  <si>
    <t>Live Excel summary — no Power Query refresh required</t>
  </si>
  <si>
    <t>Selected Month</t>
  </si>
  <si>
    <t>Total Income</t>
  </si>
  <si>
    <t>Net Expense</t>
  </si>
  <si>
    <t>Monthly Surplus</t>
  </si>
  <si>
    <t>Allocation Contribution</t>
  </si>
  <si>
    <t>Money earned during the selected month</t>
  </si>
  <si>
    <t>Gross expense less refunds</t>
  </si>
  <si>
    <t>Income less Net Expense; before Allocation</t>
  </si>
  <si>
    <t>Gross outbound Savings &amp; Investment</t>
  </si>
  <si>
    <t>Tracked Liquid Assets</t>
  </si>
  <si>
    <t>Outstanding Debt</t>
  </si>
  <si>
    <t>Tracked Net Position</t>
  </si>
  <si>
    <t>Allocation Progress</t>
  </si>
  <si>
    <t>Active and inactive tracked asset balances</t>
  </si>
  <si>
    <t>Credit Card + Pay-later natural balances</t>
  </si>
  <si>
    <t>Tracked assets less tracked debt</t>
  </si>
  <si>
    <t>Target is separate from Expense Budget</t>
  </si>
  <si>
    <t>Account Balances</t>
  </si>
  <si>
    <t>Expense vs Budget</t>
  </si>
  <si>
    <t>Account</t>
  </si>
  <si>
    <t>Class</t>
  </si>
  <si>
    <t>Available Limit</t>
  </si>
  <si>
    <t>Actual</t>
  </si>
  <si>
    <t>Budget</t>
  </si>
  <si>
    <t>Variance</t>
  </si>
  <si>
    <t>Active Accounts</t>
  </si>
  <si>
    <t>Active Categories</t>
  </si>
  <si>
    <t>Plan Months</t>
  </si>
  <si>
    <t>Demo Bank</t>
  </si>
  <si>
    <t>Wallet</t>
  </si>
  <si>
    <t>Demo Wallet</t>
  </si>
  <si>
    <t>Demo Employer</t>
  </si>
  <si>
    <t>Synthetic salary</t>
  </si>
  <si>
    <t>Demo Market</t>
  </si>
  <si>
    <t>Synthetic groceries</t>
  </si>
  <si>
    <t>Demo Shop</t>
  </si>
  <si>
    <t>Synthetic credit purchase</t>
  </si>
  <si>
    <t>Synthetic card repayment</t>
  </si>
  <si>
    <t>Synthetic wallet funding</t>
  </si>
  <si>
    <t>Synthetic card refund</t>
  </si>
  <si>
    <t>Synthetic allocation contribution</t>
  </si>
  <si>
    <t>Synthetic allocation return</t>
  </si>
  <si>
    <t>Synthetic borrowing</t>
  </si>
  <si>
    <t>Synthetic card fee</t>
  </si>
  <si>
    <t>Synthetic bank refund</t>
  </si>
  <si>
    <t>Synthetic wallet adjustment</t>
  </si>
  <si>
    <t>Personal Finance Tracker — Synthetic Demo</t>
  </si>
  <si>
    <t>Enter positive debt owed for tracked credit accounts.</t>
  </si>
  <si>
    <t>Set separate expense budgets and Savings &amp; Investment targets.</t>
  </si>
  <si>
    <t>Bank / Wallet transfer or debt payment</t>
  </si>
  <si>
    <t>Money sent to an untracked savings account</t>
  </si>
  <si>
    <t>Salary to Bank</t>
  </si>
  <si>
    <t>Increases Bank and Income</t>
  </si>
  <si>
    <t>Groceries from Bank</t>
  </si>
  <si>
    <t>Reduces Bank</t>
  </si>
  <si>
    <t>Reduces Bank and debt</t>
  </si>
  <si>
    <t>Borrow to Bank</t>
  </si>
  <si>
    <t>Increases Bank and debt</t>
  </si>
  <si>
    <t>Allocation contribution</t>
  </si>
  <si>
    <t>Synthetic demo accounts. Opening balances are at the start of 01/09/2026.</t>
  </si>
  <si>
    <t>All demo transactions are synthetic. Enter positive amounts; Entry Status must show OK.</t>
  </si>
  <si>
    <t>Natural credit-account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</si>
</sst>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;[Red]\(#,##0\);\-"/>
    <numFmt numFmtId="166" formatCode="mmm\ yyyy"/>
  </numFmts>
  <fonts count="14">
    <font>
      <sz val="11"/>
      <name val="Carlito"/>
    </font>
    <font>
      <b/>
      <sz val="20"/>
      <color rgb="FFFFFFFF"/>
      <name val="Carlito"/>
    </font>
    <font>
      <i/>
      <sz val="10"/>
      <color rgb="FF64748B"/>
      <name val="Carlito"/>
    </font>
    <font>
      <sz val="11"/>
      <color rgb="FF1E293B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b/>
      <sz val="11"/>
      <color rgb="FF147D80"/>
      <name val="Carlito"/>
    </font>
    <font>
      <sz val="11"/>
      <color rgb="FF0000FF"/>
      <name val="Carlito"/>
    </font>
    <font>
      <sz val="11"/>
      <color rgb="FF008000"/>
      <name val="Carlito"/>
    </font>
    <font>
      <i/>
      <sz val="11"/>
      <color rgb="FF64748B"/>
      <name val="Carlito"/>
    </font>
    <font>
      <b/>
      <sz val="11"/>
      <color rgb="FF0000FF"/>
      <name val="Carlito"/>
    </font>
    <font>
      <b/>
      <sz val="10"/>
      <color rgb="FF147D80"/>
      <name val="Carlito"/>
    </font>
    <font>
      <b/>
      <sz val="18"/>
      <color rgb="FF008000"/>
      <name val="Carlito"/>
    </font>
    <font>
      <i/>
      <sz val="9"/>
      <color rgb="FF64748B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B"/>
      </patternFill>
    </fill>
    <fill>
      <patternFill patternType="solid">
        <fgColor rgb="FFF6F8FB"/>
      </patternFill>
    </fill>
    <fill>
      <patternFill patternType="solid">
        <fgColor rgb="FF147D80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FFF2CC"/>
      </patternFill>
    </fill>
    <fill>
      <patternFill patternType="solid">
        <fgColor rgb="FFE5F3F2"/>
      </patternFill>
    </fill>
  </fills>
  <borders count="10">
    <border>
      <left/>
      <right/>
      <top/>
      <bottom/>
      <diagonal/>
    </border>
    <border>
      <left style="thin">
        <color rgb="FFD6DEE8"/>
      </left>
      <right/>
      <top style="thin">
        <color rgb="FFD6DEE8"/>
      </top>
      <bottom style="thin">
        <color rgb="FFD6DEE8"/>
      </bottom>
      <diagonal/>
    </border>
    <border>
      <left/>
      <right/>
      <top style="thin">
        <color rgb="FFD6DEE8"/>
      </top>
      <bottom style="thin">
        <color rgb="FFD6DEE8"/>
      </bottom>
      <diagonal/>
    </border>
    <border>
      <left/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/>
      <top/>
      <bottom style="thin">
        <color rgb="FFD6DEE8"/>
      </bottom>
      <diagonal/>
    </border>
    <border>
      <left/>
      <right/>
      <top style="thin">
        <color rgb="FFD6DEE8"/>
      </top>
      <bottom/>
      <diagonal/>
    </border>
    <border>
      <left/>
      <right/>
      <top style="double">
        <color rgb="FF000000"/>
      </top>
      <bottom style="thin">
        <color rgb="FFD6DEE8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7" fillId="6" borderId="7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8" fillId="4" borderId="7" xfId="0" applyFont="1" applyFill="1" applyBorder="1" applyAlignment="1">
      <alignment wrapText="1"/>
    </xf>
    <xf numFmtId="0" fontId="8" fillId="4" borderId="2" xfId="0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164" fontId="7" fillId="6" borderId="7" xfId="0" applyNumberFormat="1" applyFont="1" applyFill="1" applyBorder="1" applyAlignment="1">
      <alignment vertical="center"/>
    </xf>
    <xf numFmtId="164" fontId="7" fillId="6" borderId="2" xfId="0" applyNumberFormat="1" applyFont="1" applyFill="1" applyBorder="1" applyAlignment="1">
      <alignment vertical="center"/>
    </xf>
    <xf numFmtId="165" fontId="7" fillId="6" borderId="7" xfId="0" applyNumberFormat="1" applyFont="1" applyFill="1" applyBorder="1" applyAlignment="1">
      <alignment vertical="center"/>
    </xf>
    <xf numFmtId="165" fontId="7" fillId="6" borderId="2" xfId="0" applyNumberFormat="1" applyFont="1" applyFill="1" applyBorder="1" applyAlignment="1">
      <alignment vertical="center"/>
    </xf>
    <xf numFmtId="165" fontId="7" fillId="8" borderId="7" xfId="0" applyNumberFormat="1" applyFont="1" applyFill="1" applyBorder="1" applyAlignment="1">
      <alignment vertical="center"/>
    </xf>
    <xf numFmtId="165" fontId="7" fillId="8" borderId="2" xfId="0" applyNumberFormat="1" applyFont="1" applyFill="1" applyBorder="1" applyAlignment="1">
      <alignment vertical="center"/>
    </xf>
    <xf numFmtId="165" fontId="8" fillId="4" borderId="7" xfId="0" applyNumberFormat="1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166" fontId="7" fillId="6" borderId="7" xfId="0" applyNumberFormat="1" applyFont="1" applyFill="1" applyBorder="1" applyAlignment="1">
      <alignment vertical="center"/>
    </xf>
    <xf numFmtId="166" fontId="7" fillId="6" borderId="2" xfId="0" applyNumberFormat="1" applyFont="1" applyFill="1" applyBorder="1" applyAlignment="1">
      <alignment vertical="center"/>
    </xf>
    <xf numFmtId="166" fontId="7" fillId="6" borderId="0" xfId="0" applyNumberFormat="1" applyFont="1" applyFill="1" applyAlignment="1">
      <alignment vertical="center"/>
    </xf>
    <xf numFmtId="166" fontId="7" fillId="6" borderId="8" xfId="0" applyNumberFormat="1" applyFont="1" applyFill="1" applyBorder="1" applyAlignment="1">
      <alignment vertical="center"/>
    </xf>
    <xf numFmtId="0" fontId="7" fillId="6" borderId="8" xfId="0" applyFont="1" applyFill="1" applyBorder="1" applyAlignment="1">
      <alignment vertical="center"/>
    </xf>
    <xf numFmtId="165" fontId="7" fillId="6" borderId="8" xfId="0" applyNumberFormat="1" applyFont="1" applyFill="1" applyBorder="1" applyAlignment="1">
      <alignment vertical="center"/>
    </xf>
    <xf numFmtId="0" fontId="6" fillId="6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165" fontId="3" fillId="6" borderId="7" xfId="0" applyNumberFormat="1" applyFont="1" applyFill="1" applyBorder="1" applyAlignment="1">
      <alignment vertical="center" wrapText="1"/>
    </xf>
    <xf numFmtId="165" fontId="3" fillId="6" borderId="2" xfId="0" applyNumberFormat="1" applyFont="1" applyFill="1" applyBorder="1" applyAlignment="1">
      <alignment vertical="center" wrapText="1"/>
    </xf>
    <xf numFmtId="165" fontId="3" fillId="6" borderId="8" xfId="0" applyNumberFormat="1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166" fontId="10" fillId="8" borderId="0" xfId="0" applyNumberFormat="1" applyFont="1" applyFill="1" applyAlignment="1">
      <alignment horizontal="center"/>
    </xf>
    <xf numFmtId="0" fontId="0" fillId="4" borderId="0" xfId="0" applyFill="1"/>
    <xf numFmtId="0" fontId="8" fillId="6" borderId="7" xfId="0" applyFont="1" applyFill="1" applyBorder="1"/>
    <xf numFmtId="165" fontId="8" fillId="6" borderId="7" xfId="0" applyNumberFormat="1" applyFont="1" applyFill="1" applyBorder="1"/>
    <xf numFmtId="0" fontId="8" fillId="6" borderId="2" xfId="0" applyFont="1" applyFill="1" applyBorder="1"/>
    <xf numFmtId="165" fontId="8" fillId="6" borderId="2" xfId="0" applyNumberFormat="1" applyFont="1" applyFill="1" applyBorder="1"/>
    <xf numFmtId="0" fontId="8" fillId="6" borderId="8" xfId="0" applyFont="1" applyFill="1" applyBorder="1"/>
    <xf numFmtId="165" fontId="8" fillId="6" borderId="8" xfId="0" applyNumberFormat="1" applyFont="1" applyFill="1" applyBorder="1"/>
    <xf numFmtId="166" fontId="0" fillId="0" borderId="0" xfId="0" applyNumberFormat="1"/>
    <xf numFmtId="166" fontId="7" fillId="6" borderId="9" xfId="0" applyNumberFormat="1" applyFont="1" applyFill="1" applyBorder="1" applyAlignment="1">
      <alignment vertical="center"/>
    </xf>
    <xf numFmtId="0" fontId="7" fillId="6" borderId="9" xfId="0" applyFont="1" applyFill="1" applyBorder="1" applyAlignment="1">
      <alignment vertical="center"/>
    </xf>
    <xf numFmtId="165" fontId="7" fillId="6" borderId="9" xfId="0" applyNumberFormat="1" applyFont="1" applyFill="1" applyBorder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8" fillId="4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3" fillId="6" borderId="7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7" fillId="4" borderId="2" xfId="0" applyFont="1" applyFill="1" applyBorder="1"/>
    <xf numFmtId="0" fontId="0" fillId="4" borderId="2" xfId="0" applyFill="1" applyBorder="1"/>
    <xf numFmtId="0" fontId="8" fillId="4" borderId="2" xfId="0" applyFont="1" applyFill="1" applyBorder="1"/>
    <xf numFmtId="0" fontId="0" fillId="8" borderId="2" xfId="0" applyFill="1" applyBorder="1"/>
    <xf numFmtId="0" fontId="0" fillId="4" borderId="3" xfId="0" applyFill="1" applyBorder="1"/>
    <xf numFmtId="0" fontId="13" fillId="6" borderId="2" xfId="0" applyFont="1" applyFill="1" applyBorder="1" applyAlignment="1">
      <alignment horizontal="center" vertical="center"/>
    </xf>
    <xf numFmtId="0" fontId="9" fillId="3" borderId="0" xfId="0" applyFont="1" applyFill="1"/>
    <xf numFmtId="0" fontId="4" fillId="3" borderId="0" xfId="0" applyFont="1" applyFill="1" applyAlignment="1">
      <alignment horizontal="right"/>
    </xf>
    <xf numFmtId="0" fontId="11" fillId="9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165" fontId="12" fillId="6" borderId="2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165" fontId="12" fillId="6" borderId="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9" fontId="12" fillId="6" borderId="2" xfId="0" applyNumberFormat="1" applyFont="1" applyFill="1" applyBorder="1" applyAlignment="1">
      <alignment horizontal="center" vertical="center"/>
    </xf>
    <xf numFmtId="9" fontId="12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165" formatCode="#,##0;[Red]\(#,##0\);\-"/>
    </dxf>
    <dxf>
      <font>
        <b/>
        <color rgb="FFD9A441"/>
      </font>
      <fill>
        <patternFill patternType="solid">
          <bgColor rgb="FFFFF4D6"/>
        </patternFill>
      </fill>
    </dxf>
    <dxf>
      <font>
        <b/>
        <color rgb="FF247A4A"/>
      </font>
      <fill>
        <patternFill patternType="solid">
          <bgColor rgb="FFE8F5EC"/>
        </patternFill>
      </fill>
    </dxf>
    <dxf>
      <font>
        <color rgb="FF247A4A"/>
      </font>
      <fill>
        <patternFill patternType="solid">
          <bgColor rgb="FFE8F5EC"/>
        </patternFill>
      </fill>
    </dxf>
    <dxf>
      <font>
        <color rgb="FFB83A3A"/>
      </font>
      <fill>
        <patternFill patternType="solid">
          <bgColor rgb="FFFDECEC"/>
        </patternFill>
      </fill>
    </dxf>
    <dxf>
      <border>
        <top style="thin">
          <color rgb="FF000000"/>
        </top>
      </border>
    </dxf>
    <dxf>
      <font>
        <b/>
        <color rgb="FF247A4A"/>
      </font>
      <fill>
        <patternFill patternType="solid">
          <bgColor rgb="FFE8F5EC"/>
        </patternFill>
      </fill>
    </dxf>
    <dxf>
      <font>
        <b/>
        <color rgb="FFB83A3A"/>
      </font>
      <fill>
        <patternFill patternType="solid">
          <bgColor rgb="FFFDECEC"/>
        </patternFill>
      </fill>
    </dxf>
    <dxf>
      <numFmt numFmtId="0" formatCode="General"/>
    </dxf>
    <dxf>
      <numFmt numFmtId="3" formatCode="#,##0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B3D93B-19BA-4891-8D2D-FD3350760180}" name="tbl_transactions" displayName="tbl_transactions" ref="A4:I499" totalsRowShown="0">
  <tableColumns count="9">
    <tableColumn id="1" xr3:uid="{00000000-0010-0000-0000-000001000000}" name="Date" dataDxfId="10"/>
    <tableColumn id="2" xr3:uid="{00000000-0010-0000-0000-000002000000}" name="Type"/>
    <tableColumn id="3" xr3:uid="{00000000-0010-0000-0000-000003000000}" name="Amount" dataDxfId="9"/>
    <tableColumn id="4" xr3:uid="{00000000-0010-0000-0000-000004000000}" name="From Account"/>
    <tableColumn id="5" xr3:uid="{00000000-0010-0000-0000-000005000000}" name="To Account"/>
    <tableColumn id="6" xr3:uid="{00000000-0010-0000-0000-000006000000}" name="Category"/>
    <tableColumn id="7" xr3:uid="{00000000-0010-0000-0000-000007000000}" name="Merchant"/>
    <tableColumn id="8" xr3:uid="{00000000-0010-0000-0000-000008000000}" name="Note"/>
    <tableColumn id="9" xr3:uid="{00000000-0010-0000-0000-000009000000}" name="Entry Status" dataDxfId="8">
      <calculatedColumnFormula>IF(COUNTA(A5:H5)=0,"",IF(OR(A5="",B5="",C5="",C5&lt;=0),"CHECK: Date, Type and positive Amount required",IF(OR(AND(B5="Income",D5="",E5&lt;&gt;"",F5&lt;&gt;"",COUNTIFS(Accounts!$A$5:$A$50,E5,Accounts!$D$5:$D$50,"Asset")=1,COUNTIFS(Categories!$A$5:$A$100,F5,Categories!$C$5:$C$100,"Income")=1),AND(B5="Expense",D5&lt;&gt;"",E5="",F5&lt;&gt;"",COUNTIF(Accounts!$A$5:$A$50,D5)=1,COUNTIFS(Categories!$A$5:$A$100,F5,Categories!$C$5:$C$100,"Expense")=1),AND(B5="Refund",D5="",E5&lt;&gt;"",F5&lt;&gt;"",COUNTIF(Accounts!$A$5:$A$50,E5)=1,COUNTIFS(Categories!$A$5:$A$100,F5,Categories!$C$5:$C$100,"Expense")=1),AND(B5="Transfer",D5&lt;&gt;"",E5&lt;&gt;"",D5&lt;&gt;E5,F5="",COUNTIF(Accounts!$A$5:$A$50,D5)=1,COUNTIF(Accounts!$A$5:$A$50,E5)=1),AND(B5="Allocation",F5="Savings &amp; Investment",OR(AND(D5&lt;&gt;"",E5="",COUNTIFS(Accounts!$A$5:$A$50,D5,Accounts!$D$5:$D$50,"Asset")=1),AND(D5="",E5&lt;&gt;"",COUNTIFS(Accounts!$A$5:$A$50,E5,Accounts!$D$5:$D$50,"Asset")=1))),AND(B5="Adjustment",F5="",OR(AND(D5&lt;&gt;"",E5="",COUNTIF(Accounts!$A$5:$A$50,D5)=1),AND(D5="",E5&lt;&gt;"",COUNTIF(Accounts!$A$5:$A$50,E5)=1)))),"OK","CHECK: Type / account / category combination")))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E5C1E0-87CE-4220-A015-D985AD09BD09}" name="tbl_accounts" displayName="tbl_accounts" ref="A4:I9" totalsRowShown="0">
  <tableColumns count="9">
    <tableColumn id="1" xr3:uid="{00000000-0010-0000-0100-000001000000}" name="Account Name"/>
    <tableColumn id="2" xr3:uid="{00000000-0010-0000-0100-000002000000}" name="Institution"/>
    <tableColumn id="3" xr3:uid="{00000000-0010-0000-0100-000003000000}" name="Account Type"/>
    <tableColumn id="4" xr3:uid="{00000000-0010-0000-0100-000004000000}" name="Account Class"/>
    <tableColumn id="5" xr3:uid="{00000000-0010-0000-0100-000005000000}" name="Opening Balance"/>
    <tableColumn id="6" xr3:uid="{00000000-0010-0000-0100-000006000000}" name="Opening Date"/>
    <tableColumn id="7" xr3:uid="{00000000-0010-0000-0100-000007000000}" name="Credit Limit"/>
    <tableColumn id="8" xr3:uid="{00000000-0010-0000-0100-000008000000}" name="Active"/>
    <tableColumn id="9" xr3:uid="{00000000-0010-0000-0100-000009000000}" name="Current Balance" dataDxfId="0">
      <calculatedColumnFormula>IF(COUNT($E5)=0,"",$E5+IF($D5="Asset",SUMIFS(Transactions!$C$5:$C$2001,Transactions!$I$5:$I$2001,"OK",Transactions!$I$5:$I$2001,"OK",Transactions!$I$5:$I$2001,"OK",Transactions!$I$5:$I$2001,"OK",Transactions!$I$5:$I$2001,"OK",Transactions!$E$5:$E$2001,$A5,Transactions!$A$5:$A$2001,"&gt;="&amp;$F5)-SUMIFS(Transactions!$C$5:$C$2001,Transactions!$I$5:$I$2001,"OK",Transactions!$I$5:$I$2001,"OK",Transactions!$I$5:$I$2001,"OK",Transactions!$I$5:$I$2001,"OK",Transactions!$I$5:$I$2001,"OK",Transactions!$D$5:$D$2001,$A5,Transactions!$A$5:$A$2001,"&gt;="&amp;$F5),SUMIFS(Transactions!$C$5:$C$2001,Transactions!$I$5:$I$2001,"OK",Transactions!$I$5:$I$2001,"OK",Transactions!$I$5:$I$2001,"OK",Transactions!$I$5:$I$2001,"OK",Transactions!$I$5:$I$2001,"OK",Transactions!$D$5:$D$2001,$A5,Transactions!$A$5:$A$2001,"&gt;="&amp;$F5)-SUMIFS(Transactions!$C$5:$C$2001,Transactions!$I$5:$I$2001,"OK",Transactions!$I$5:$I$2001,"OK",Transactions!$I$5:$I$2001,"OK",Transactions!$I$5:$I$2001,"OK",Transactions!$I$5:$I$2001,"OK",Transactions!$E$5:$E$2001,$A5,Transactions!$A$5:$A$2001,"&gt;="&amp;$F5)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4F0F19-6D6A-4003-8D41-D0D796704C63}" name="tbl_categories" displayName="tbl_categories" ref="A4:F20" totalsRowShown="0">
  <tableColumns count="6">
    <tableColumn id="1" xr3:uid="{00000000-0010-0000-0200-000001000000}" name="Category Name"/>
    <tableColumn id="2" xr3:uid="{00000000-0010-0000-0200-000002000000}" name="Category Group"/>
    <tableColumn id="3" xr3:uid="{00000000-0010-0000-0200-000003000000}" name="Allowed Type"/>
    <tableColumn id="4" xr3:uid="{00000000-0010-0000-0200-000004000000}" name="Need / Want"/>
    <tableColumn id="5" xr3:uid="{00000000-0010-0000-0200-000005000000}" name="Fixed / Variable"/>
    <tableColumn id="6" xr3:uid="{00000000-0010-0000-0200-000006000000}" name="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BD11F6-CD6B-4336-A3E9-E80D6146B34E}" name="tbl_monthly_plan" displayName="tbl_monthly_plan" ref="A4:C27" totalsRowShown="0">
  <tableColumns count="3">
    <tableColumn id="1" xr3:uid="{00000000-0010-0000-0300-000001000000}" name="Month"/>
    <tableColumn id="2" xr3:uid="{00000000-0010-0000-0300-000002000000}" name="Category"/>
    <tableColumn id="3" xr3:uid="{00000000-0010-0000-0300-000003000000}" name="Planned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'1.0' encoding='utf-8'?>
<Relationships xmlns="http://schemas.openxmlformats.org/package/2006/relationships"><Relationship Id="rId2" Type="http://schemas.openxmlformats.org/officeDocument/2006/relationships/table" Target="../tables/table1.xml" /></Relationships>
</file>

<file path=xl/worksheets/_rels/sheet3.xml.rels><?xml version='1.0' encoding='utf-8'?>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'1.0' encoding='utf-8'?>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'1.0' encoding='utf-8'?>
<Relationships xmlns="http://schemas.openxmlformats.org/package/2006/relationships"><Relationship Id="rId1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C4D0-C05A-4877-9F9F-E16F967B34C0}">
  <dimension ref="A1:H36"/>
  <sheetViews>
    <sheetView showGridLines="0" topLeftCell="A16" workbookViewId="0">
      <selection sqref="A1:H2"/>
    </sheetView>
  </sheetViews>
  <sheetFormatPr defaultRowHeight="13.8"/>
  <cols>
    <col min="1" max="1" width="16" customWidth="1"/>
    <col min="2" max="2" width="19" customWidth="1"/>
    <col min="3" max="3" width="25" customWidth="1"/>
    <col min="4" max="4" width="18" customWidth="1"/>
    <col min="5" max="7" width="15" customWidth="1"/>
    <col min="8" max="8" width="26" customWidth="1"/>
  </cols>
  <sheetData>
    <row r="1" spans="1:8" ht="34.049999999999997" customHeight="1">
      <c r="A1" s="59" t="s">
        <v>182</v>
      </c>
      <c r="B1" s="59" t="s">
        <v>0</v>
      </c>
      <c r="C1" s="59" t="s">
        <v>0</v>
      </c>
      <c r="D1" s="59" t="s">
        <v>0</v>
      </c>
      <c r="E1" s="59" t="s">
        <v>0</v>
      </c>
      <c r="F1" s="59" t="s">
        <v>0</v>
      </c>
      <c r="G1" s="59" t="s">
        <v>0</v>
      </c>
      <c r="H1" s="59" t="s">
        <v>0</v>
      </c>
    </row>
    <row r="2" spans="1:8" ht="34.049999999999997" customHeight="1">
      <c r="A2" s="59" t="s">
        <v>0</v>
      </c>
      <c r="B2" s="59" t="s">
        <v>0</v>
      </c>
      <c r="C2" s="59" t="s">
        <v>0</v>
      </c>
      <c r="D2" s="59" t="s">
        <v>0</v>
      </c>
      <c r="E2" s="59" t="s">
        <v>0</v>
      </c>
      <c r="F2" s="59" t="s">
        <v>0</v>
      </c>
      <c r="G2" s="59" t="s">
        <v>0</v>
      </c>
      <c r="H2" s="59" t="s">
        <v>0</v>
      </c>
    </row>
    <row r="3" spans="1:8" ht="24" customHeight="1">
      <c r="A3" s="60" t="s">
        <v>1</v>
      </c>
      <c r="B3" s="60" t="s">
        <v>1</v>
      </c>
      <c r="C3" s="60" t="s">
        <v>1</v>
      </c>
      <c r="D3" s="60" t="s">
        <v>1</v>
      </c>
      <c r="E3" s="60" t="s">
        <v>1</v>
      </c>
      <c r="F3" s="60" t="s">
        <v>1</v>
      </c>
      <c r="G3" s="60" t="s">
        <v>1</v>
      </c>
      <c r="H3" s="60" t="s">
        <v>1</v>
      </c>
    </row>
    <row r="5" spans="1:8">
      <c r="A5" s="3" t="s">
        <v>2</v>
      </c>
      <c r="B5" s="1" t="s">
        <v>3</v>
      </c>
      <c r="C5" s="1" t="s">
        <v>4</v>
      </c>
      <c r="D5" s="4">
        <v>46266</v>
      </c>
      <c r="E5" s="1" t="s">
        <v>5</v>
      </c>
      <c r="F5" s="1" t="s">
        <v>6</v>
      </c>
      <c r="G5" s="1" t="s">
        <v>7</v>
      </c>
      <c r="H5" s="2" t="s">
        <v>8</v>
      </c>
    </row>
    <row r="7" spans="1:8" ht="24" customHeight="1">
      <c r="A7" s="63" t="s">
        <v>9</v>
      </c>
      <c r="B7" s="63" t="s">
        <v>9</v>
      </c>
      <c r="C7" s="63" t="s">
        <v>9</v>
      </c>
      <c r="D7" s="63" t="s">
        <v>9</v>
      </c>
      <c r="E7" s="63" t="s">
        <v>9</v>
      </c>
      <c r="F7" s="63" t="s">
        <v>9</v>
      </c>
      <c r="G7" s="63" t="s">
        <v>9</v>
      </c>
      <c r="H7" s="63" t="s">
        <v>9</v>
      </c>
    </row>
    <row r="8" spans="1:8">
      <c r="A8" s="29" t="s">
        <v>10</v>
      </c>
      <c r="B8" s="30" t="s">
        <v>11</v>
      </c>
      <c r="C8" s="64" t="s">
        <v>12</v>
      </c>
      <c r="D8" s="64"/>
      <c r="E8" s="64"/>
      <c r="F8" s="64"/>
      <c r="G8" s="64"/>
      <c r="H8" s="64"/>
    </row>
    <row r="9" spans="1:8">
      <c r="A9" s="32" t="s">
        <v>13</v>
      </c>
      <c r="B9" s="33" t="s">
        <v>14</v>
      </c>
      <c r="C9" s="61" t="s">
        <v>183</v>
      </c>
      <c r="D9" s="61"/>
      <c r="E9" s="61"/>
      <c r="F9" s="61"/>
      <c r="G9" s="61"/>
      <c r="H9" s="61"/>
    </row>
    <row r="10" spans="1:8">
      <c r="A10" s="32" t="s">
        <v>15</v>
      </c>
      <c r="B10" s="33" t="s">
        <v>16</v>
      </c>
      <c r="C10" s="61" t="s">
        <v>17</v>
      </c>
      <c r="D10" s="61"/>
      <c r="E10" s="61"/>
      <c r="F10" s="61"/>
      <c r="G10" s="61"/>
      <c r="H10" s="61"/>
    </row>
    <row r="11" spans="1:8">
      <c r="A11" s="35" t="s">
        <v>18</v>
      </c>
      <c r="B11" s="36" t="s">
        <v>19</v>
      </c>
      <c r="C11" s="62" t="s">
        <v>184</v>
      </c>
      <c r="D11" s="62"/>
      <c r="E11" s="62"/>
      <c r="F11" s="62"/>
      <c r="G11" s="62"/>
      <c r="H11" s="62"/>
    </row>
    <row r="13" spans="1:8" ht="24" customHeight="1">
      <c r="A13" s="63" t="s">
        <v>20</v>
      </c>
      <c r="B13" s="63" t="s">
        <v>20</v>
      </c>
      <c r="C13" s="63" t="s">
        <v>20</v>
      </c>
      <c r="D13" s="63" t="s">
        <v>20</v>
      </c>
      <c r="E13" s="63" t="s">
        <v>20</v>
      </c>
      <c r="F13" s="63" t="s">
        <v>20</v>
      </c>
      <c r="G13" s="63" t="s">
        <v>20</v>
      </c>
      <c r="H13" s="63" t="s">
        <v>20</v>
      </c>
    </row>
    <row r="14" spans="1:8" ht="28.05" customHeight="1">
      <c r="A14" s="5" t="s">
        <v>21</v>
      </c>
      <c r="B14" s="6" t="s">
        <v>22</v>
      </c>
      <c r="C14" s="6" t="s">
        <v>23</v>
      </c>
      <c r="D14" s="6" t="s">
        <v>24</v>
      </c>
      <c r="E14" s="6" t="s">
        <v>25</v>
      </c>
      <c r="F14" s="6" t="s">
        <v>26</v>
      </c>
      <c r="G14" s="6" t="s">
        <v>27</v>
      </c>
      <c r="H14" s="7" t="s">
        <v>28</v>
      </c>
    </row>
    <row r="15" spans="1:8">
      <c r="A15" s="31" t="s">
        <v>29</v>
      </c>
      <c r="B15" s="31" t="s">
        <v>30</v>
      </c>
      <c r="C15" s="31" t="s">
        <v>31</v>
      </c>
      <c r="D15" s="31" t="s">
        <v>29</v>
      </c>
      <c r="E15" s="31" t="s">
        <v>32</v>
      </c>
      <c r="F15" s="31" t="s">
        <v>33</v>
      </c>
      <c r="G15" s="31" t="s">
        <v>34</v>
      </c>
      <c r="H15" s="31" t="s">
        <v>35</v>
      </c>
    </row>
    <row r="16" spans="1:8" ht="27.6">
      <c r="A16" s="34" t="s">
        <v>36</v>
      </c>
      <c r="B16" s="34" t="s">
        <v>37</v>
      </c>
      <c r="C16" s="34" t="s">
        <v>30</v>
      </c>
      <c r="D16" s="34" t="s">
        <v>36</v>
      </c>
      <c r="E16" s="34" t="s">
        <v>33</v>
      </c>
      <c r="F16" s="34" t="s">
        <v>32</v>
      </c>
      <c r="G16" s="34" t="s">
        <v>38</v>
      </c>
      <c r="H16" s="34" t="s">
        <v>39</v>
      </c>
    </row>
    <row r="17" spans="1:8" ht="27.6">
      <c r="A17" s="34" t="s">
        <v>40</v>
      </c>
      <c r="B17" s="34" t="s">
        <v>30</v>
      </c>
      <c r="C17" s="34" t="s">
        <v>37</v>
      </c>
      <c r="D17" s="34" t="s">
        <v>41</v>
      </c>
      <c r="E17" s="34" t="s">
        <v>33</v>
      </c>
      <c r="F17" s="34" t="s">
        <v>42</v>
      </c>
      <c r="G17" s="34" t="s">
        <v>43</v>
      </c>
      <c r="H17" s="34" t="s">
        <v>44</v>
      </c>
    </row>
    <row r="18" spans="1:8" ht="27.6">
      <c r="A18" s="34" t="s">
        <v>45</v>
      </c>
      <c r="B18" s="34" t="s">
        <v>46</v>
      </c>
      <c r="C18" s="34" t="s">
        <v>46</v>
      </c>
      <c r="D18" s="34" t="s">
        <v>47</v>
      </c>
      <c r="E18" s="34" t="s">
        <v>33</v>
      </c>
      <c r="F18" s="34" t="s">
        <v>33</v>
      </c>
      <c r="G18" s="34" t="s">
        <v>48</v>
      </c>
      <c r="H18" s="34" t="s">
        <v>185</v>
      </c>
    </row>
    <row r="19" spans="1:8" ht="27.6">
      <c r="A19" s="34" t="s">
        <v>49</v>
      </c>
      <c r="B19" s="34" t="s">
        <v>31</v>
      </c>
      <c r="C19" s="34" t="s">
        <v>30</v>
      </c>
      <c r="D19" s="34" t="s">
        <v>50</v>
      </c>
      <c r="E19" s="34" t="s">
        <v>33</v>
      </c>
      <c r="F19" s="34" t="s">
        <v>33</v>
      </c>
      <c r="G19" s="34" t="s">
        <v>51</v>
      </c>
      <c r="H19" s="34" t="s">
        <v>186</v>
      </c>
    </row>
    <row r="20" spans="1:8" ht="27.6">
      <c r="A20" s="37" t="s">
        <v>52</v>
      </c>
      <c r="B20" s="37" t="s">
        <v>53</v>
      </c>
      <c r="C20" s="37" t="s">
        <v>53</v>
      </c>
      <c r="D20" s="37" t="s">
        <v>47</v>
      </c>
      <c r="E20" s="37" t="s">
        <v>33</v>
      </c>
      <c r="F20" s="37" t="s">
        <v>33</v>
      </c>
      <c r="G20" s="37" t="s">
        <v>54</v>
      </c>
      <c r="H20" s="37" t="s">
        <v>55</v>
      </c>
    </row>
    <row r="22" spans="1:8" ht="24" customHeight="1">
      <c r="A22" s="63" t="s">
        <v>56</v>
      </c>
      <c r="B22" s="63" t="s">
        <v>56</v>
      </c>
      <c r="C22" s="63" t="s">
        <v>56</v>
      </c>
      <c r="D22" s="63" t="s">
        <v>56</v>
      </c>
      <c r="E22" s="63" t="s">
        <v>56</v>
      </c>
      <c r="F22" s="63" t="s">
        <v>56</v>
      </c>
      <c r="G22" s="63" t="s">
        <v>56</v>
      </c>
      <c r="H22" s="63" t="s">
        <v>56</v>
      </c>
    </row>
    <row r="23" spans="1:8" ht="28.05" customHeight="1">
      <c r="A23" s="5" t="s">
        <v>57</v>
      </c>
      <c r="B23" s="6" t="s">
        <v>21</v>
      </c>
      <c r="C23" s="6" t="s">
        <v>58</v>
      </c>
      <c r="D23" s="6" t="s">
        <v>59</v>
      </c>
      <c r="E23" s="6" t="s">
        <v>60</v>
      </c>
      <c r="F23" s="6" t="s">
        <v>24</v>
      </c>
      <c r="G23" s="6" t="s">
        <v>61</v>
      </c>
      <c r="H23" s="7" t="s">
        <v>62</v>
      </c>
    </row>
    <row r="24" spans="1:8">
      <c r="A24" s="31" t="s">
        <v>187</v>
      </c>
      <c r="B24" s="31" t="s">
        <v>29</v>
      </c>
      <c r="C24" s="38">
        <v>3000000</v>
      </c>
      <c r="D24" s="31" t="s">
        <v>30</v>
      </c>
      <c r="E24" s="31" t="s">
        <v>97</v>
      </c>
      <c r="F24" s="31" t="s">
        <v>63</v>
      </c>
      <c r="G24" s="31" t="s">
        <v>33</v>
      </c>
      <c r="H24" s="31" t="s">
        <v>188</v>
      </c>
    </row>
    <row r="25" spans="1:8" ht="27.6">
      <c r="A25" s="34" t="s">
        <v>189</v>
      </c>
      <c r="B25" s="34" t="s">
        <v>36</v>
      </c>
      <c r="C25" s="39">
        <v>500000</v>
      </c>
      <c r="D25" s="34" t="s">
        <v>97</v>
      </c>
      <c r="E25" s="34" t="s">
        <v>30</v>
      </c>
      <c r="F25" s="34" t="s">
        <v>64</v>
      </c>
      <c r="G25" s="34" t="s">
        <v>32</v>
      </c>
      <c r="H25" s="34" t="s">
        <v>190</v>
      </c>
    </row>
    <row r="26" spans="1:8" ht="27.6">
      <c r="A26" s="34" t="s">
        <v>65</v>
      </c>
      <c r="B26" s="34" t="s">
        <v>36</v>
      </c>
      <c r="C26" s="39">
        <v>200000</v>
      </c>
      <c r="D26" s="34" t="s">
        <v>99</v>
      </c>
      <c r="E26" s="34" t="s">
        <v>30</v>
      </c>
      <c r="F26" s="34" t="s">
        <v>66</v>
      </c>
      <c r="G26" s="34" t="s">
        <v>32</v>
      </c>
      <c r="H26" s="34" t="s">
        <v>67</v>
      </c>
    </row>
    <row r="27" spans="1:8">
      <c r="A27" s="34" t="s">
        <v>68</v>
      </c>
      <c r="B27" s="34" t="s">
        <v>45</v>
      </c>
      <c r="C27" s="39">
        <v>100000</v>
      </c>
      <c r="D27" s="34" t="s">
        <v>97</v>
      </c>
      <c r="E27" s="34" t="s">
        <v>99</v>
      </c>
      <c r="F27" s="34" t="s">
        <v>30</v>
      </c>
      <c r="G27" s="34" t="s">
        <v>33</v>
      </c>
      <c r="H27" s="34" t="s">
        <v>191</v>
      </c>
    </row>
    <row r="28" spans="1:8">
      <c r="A28" s="34" t="s">
        <v>192</v>
      </c>
      <c r="B28" s="34" t="s">
        <v>45</v>
      </c>
      <c r="C28" s="39">
        <v>30000</v>
      </c>
      <c r="D28" s="34" t="s">
        <v>99</v>
      </c>
      <c r="E28" s="34" t="s">
        <v>97</v>
      </c>
      <c r="F28" s="34" t="s">
        <v>30</v>
      </c>
      <c r="G28" s="34" t="s">
        <v>33</v>
      </c>
      <c r="H28" s="34" t="s">
        <v>193</v>
      </c>
    </row>
    <row r="29" spans="1:8" ht="27.6">
      <c r="A29" s="37" t="s">
        <v>194</v>
      </c>
      <c r="B29" s="37" t="s">
        <v>49</v>
      </c>
      <c r="C29" s="40">
        <v>400000</v>
      </c>
      <c r="D29" s="37" t="s">
        <v>97</v>
      </c>
      <c r="E29" s="37" t="s">
        <v>30</v>
      </c>
      <c r="F29" s="37" t="s">
        <v>50</v>
      </c>
      <c r="G29" s="37" t="s">
        <v>33</v>
      </c>
      <c r="H29" s="37" t="s">
        <v>69</v>
      </c>
    </row>
    <row r="31" spans="1:8" ht="24" customHeight="1">
      <c r="A31" s="63" t="s">
        <v>70</v>
      </c>
      <c r="B31" s="63" t="s">
        <v>70</v>
      </c>
      <c r="C31" s="63" t="s">
        <v>70</v>
      </c>
      <c r="D31" s="63" t="s">
        <v>70</v>
      </c>
      <c r="E31" s="63" t="s">
        <v>70</v>
      </c>
      <c r="F31" s="63" t="s">
        <v>70</v>
      </c>
      <c r="G31" s="63" t="s">
        <v>70</v>
      </c>
      <c r="H31" s="63" t="s">
        <v>70</v>
      </c>
    </row>
    <row r="32" spans="1:8">
      <c r="A32" s="41" t="s">
        <v>71</v>
      </c>
      <c r="B32" s="65" t="s">
        <v>72</v>
      </c>
      <c r="C32" s="65"/>
      <c r="D32" s="65"/>
      <c r="E32" s="65"/>
      <c r="F32" s="65"/>
      <c r="G32" s="65"/>
      <c r="H32" s="65"/>
    </row>
    <row r="33" spans="1:8">
      <c r="A33" s="42" t="s">
        <v>73</v>
      </c>
      <c r="B33" s="66" t="s">
        <v>74</v>
      </c>
      <c r="C33" s="66"/>
      <c r="D33" s="66"/>
      <c r="E33" s="66"/>
      <c r="F33" s="66"/>
      <c r="G33" s="66"/>
      <c r="H33" s="66"/>
    </row>
    <row r="34" spans="1:8">
      <c r="A34" s="43" t="s">
        <v>75</v>
      </c>
      <c r="B34" s="67" t="s">
        <v>76</v>
      </c>
      <c r="C34" s="67"/>
      <c r="D34" s="67"/>
      <c r="E34" s="67"/>
      <c r="F34" s="67"/>
      <c r="G34" s="67"/>
      <c r="H34" s="67"/>
    </row>
    <row r="36" spans="1:8">
      <c r="A36" s="8" t="s">
        <v>77</v>
      </c>
      <c r="B36" s="68" t="s">
        <v>78</v>
      </c>
      <c r="C36" s="69"/>
      <c r="D36" s="70" t="s">
        <v>79</v>
      </c>
      <c r="E36" s="69"/>
      <c r="F36" s="69"/>
      <c r="G36" s="71" t="s">
        <v>80</v>
      </c>
      <c r="H36" s="72"/>
    </row>
  </sheetData>
  <mergeCells count="16">
    <mergeCell ref="B32:H32"/>
    <mergeCell ref="B33:H33"/>
    <mergeCell ref="B34:H34"/>
    <mergeCell ref="B36:C36"/>
    <mergeCell ref="D36:F36"/>
    <mergeCell ref="G36:H36"/>
    <mergeCell ref="A1:H2"/>
    <mergeCell ref="A3:H3"/>
    <mergeCell ref="A7:H7"/>
    <mergeCell ref="C8:H8"/>
    <mergeCell ref="C9:H9"/>
    <mergeCell ref="C10:H10"/>
    <mergeCell ref="C11:H11"/>
    <mergeCell ref="A13:H13"/>
    <mergeCell ref="A22:H22"/>
    <mergeCell ref="A31:H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8973-C621-4FC6-BE39-92FE349E418E}">
  <dimension ref="A1:I501"/>
  <sheetViews>
    <sheetView showGridLines="0" tabSelected="1" workbookViewId="0">
      <selection activeCell="H52" sqref="H52"/>
    </sheetView>
  </sheetViews>
  <sheetFormatPr defaultColWidth="10" defaultRowHeight="13.8"/>
  <cols>
    <col min="1" max="1" width="9.8984375" bestFit="1" customWidth="1"/>
    <col min="2" max="2" width="12.69921875" customWidth="1"/>
    <col min="3" max="3" width="8.8984375" bestFit="1" customWidth="1"/>
    <col min="4" max="5" width="15" bestFit="1" customWidth="1"/>
    <col min="6" max="6" width="24.69921875" customWidth="1"/>
    <col min="7" max="7" width="18.69921875" customWidth="1"/>
    <col min="8" max="8" width="38.69921875" customWidth="1"/>
    <col min="9" max="9" width="41.5" bestFit="1" customWidth="1"/>
  </cols>
  <sheetData>
    <row r="1" spans="1:9" ht="34.049999999999997" customHeight="1">
      <c r="A1" s="59" t="s">
        <v>81</v>
      </c>
      <c r="B1" s="59" t="s">
        <v>81</v>
      </c>
      <c r="C1" s="59" t="s">
        <v>81</v>
      </c>
      <c r="D1" s="59" t="s">
        <v>81</v>
      </c>
      <c r="E1" s="59" t="s">
        <v>81</v>
      </c>
      <c r="F1" s="59" t="s">
        <v>81</v>
      </c>
      <c r="G1" s="59" t="s">
        <v>81</v>
      </c>
      <c r="H1" s="59" t="s">
        <v>81</v>
      </c>
      <c r="I1" s="59" t="s">
        <v>81</v>
      </c>
    </row>
    <row r="2" spans="1:9" ht="24" customHeight="1">
      <c r="A2" s="60" t="s">
        <v>196</v>
      </c>
      <c r="B2" s="60" t="s">
        <v>82</v>
      </c>
      <c r="C2" s="60" t="s">
        <v>82</v>
      </c>
      <c r="D2" s="60" t="s">
        <v>82</v>
      </c>
      <c r="E2" s="60" t="s">
        <v>82</v>
      </c>
      <c r="F2" s="60" t="s">
        <v>82</v>
      </c>
      <c r="G2" s="60" t="s">
        <v>82</v>
      </c>
      <c r="H2" s="60" t="s">
        <v>82</v>
      </c>
      <c r="I2" s="60" t="s">
        <v>82</v>
      </c>
    </row>
    <row r="4" spans="1:9" ht="28.05" customHeight="1">
      <c r="A4" s="5" t="s">
        <v>83</v>
      </c>
      <c r="B4" s="6" t="s">
        <v>21</v>
      </c>
      <c r="C4" s="6" t="s">
        <v>58</v>
      </c>
      <c r="D4" s="6" t="s">
        <v>22</v>
      </c>
      <c r="E4" s="6" t="s">
        <v>23</v>
      </c>
      <c r="F4" s="6" t="s">
        <v>24</v>
      </c>
      <c r="G4" s="6" t="s">
        <v>84</v>
      </c>
      <c r="H4" s="6" t="s">
        <v>85</v>
      </c>
      <c r="I4" s="7" t="s">
        <v>86</v>
      </c>
    </row>
    <row r="5" spans="1:9" ht="16.2" customHeight="1">
      <c r="A5" s="56">
        <v>46266</v>
      </c>
      <c r="B5" t="s">
        <v>29</v>
      </c>
      <c r="C5" s="57">
        <v>3000000</v>
      </c>
      <c r="E5" t="s">
        <v>97</v>
      </c>
      <c r="F5" t="s">
        <v>63</v>
      </c>
      <c r="G5" t="s">
        <v>167</v>
      </c>
      <c r="H5" t="s">
        <v>168</v>
      </c>
      <c r="I5" s="11" t="str">
        <f>IF(COUNTA(A5:H5)=0,"",IF(OR(A5="",B5="",C5="",C5&lt;=0),"CHECK: Date, Type and positive Amount required",IF(OR(AND(B5="Income",D5="",E5&lt;&gt;"",F5&lt;&gt;"",COUNTIFS(Accounts!$A$5:$A$50,E5,Accounts!$D$5:$D$50,"Asset")=1,COUNTIFS(Categories!$A$5:$A$100,F5,Categories!$C$5:$C$100,"Income")=1),AND(B5="Expense",D5&lt;&gt;"",E5="",F5&lt;&gt;"",COUNTIF(Accounts!$A$5:$A$50,D5)=1,COUNTIFS(Categories!$A$5:$A$100,F5,Categories!$C$5:$C$100,"Expense")=1),AND(B5="Refund",D5="",E5&lt;&gt;"",F5&lt;&gt;"",COUNTIF(Accounts!$A$5:$A$50,E5)=1,COUNTIFS(Categories!$A$5:$A$100,F5,Categories!$C$5:$C$100,"Expense")=1),AND(B5="Transfer",D5&lt;&gt;"",E5&lt;&gt;"",D5&lt;&gt;E5,F5="",COUNTIF(Accounts!$A$5:$A$50,D5)=1,COUNTIF(Accounts!$A$5:$A$50,E5)=1),AND(B5="Allocation",F5="Savings &amp; Investment",OR(AND(D5&lt;&gt;"",E5="",COUNTIFS(Accounts!$A$5:$A$50,D5,Accounts!$D$5:$D$50,"Asset")=1),AND(D5="",E5&lt;&gt;"",COUNTIFS(Accounts!$A$5:$A$50,E5,Accounts!$D$5:$D$50,"Asset")=1))),AND(B5="Adjustment",F5="",OR(AND(D5&lt;&gt;"",E5="",COUNTIF(Accounts!$A$5:$A$50,D5)=1),AND(D5="",E5&lt;&gt;"",COUNTIF(Accounts!$A$5:$A$50,E5)=1)))),"OK","CHECK: Type / account / category combination")))</f>
        <v>OK</v>
      </c>
    </row>
    <row r="6" spans="1:9">
      <c r="A6" s="56">
        <v>46267</v>
      </c>
      <c r="B6" t="s">
        <v>36</v>
      </c>
      <c r="C6" s="57">
        <v>500000</v>
      </c>
      <c r="D6" t="s">
        <v>97</v>
      </c>
      <c r="F6" t="s">
        <v>64</v>
      </c>
      <c r="G6" t="s">
        <v>169</v>
      </c>
      <c r="H6" t="s">
        <v>170</v>
      </c>
      <c r="I6" s="12" t="str">
        <f>IF(COUNTA(A6:H6)=0,"",IF(OR(A6="",B6="",C6="",C6&lt;=0),"CHECK: Date, Type and positive Amount required",IF(OR(AND(B6="Income",D6="",E6&lt;&gt;"",F6&lt;&gt;"",COUNTIFS(Accounts!$A$5:$A$50,E6,Accounts!$D$5:$D$50,"Asset")=1,COUNTIFS(Categories!$A$5:$A$100,F6,Categories!$C$5:$C$100,"Income")=1),AND(B6="Expense",D6&lt;&gt;"",E6="",F6&lt;&gt;"",COUNTIF(Accounts!$A$5:$A$50,D6)=1,COUNTIFS(Categories!$A$5:$A$100,F6,Categories!$C$5:$C$100,"Expense")=1),AND(B6="Refund",D6="",E6&lt;&gt;"",F6&lt;&gt;"",COUNTIF(Accounts!$A$5:$A$50,E6)=1,COUNTIFS(Categories!$A$5:$A$100,F6,Categories!$C$5:$C$100,"Expense")=1),AND(B6="Transfer",D6&lt;&gt;"",E6&lt;&gt;"",D6&lt;&gt;E6,F6="",COUNTIF(Accounts!$A$5:$A$50,D6)=1,COUNTIF(Accounts!$A$5:$A$50,E6)=1),AND(B6="Allocation",F6="Savings &amp; Investment",OR(AND(D6&lt;&gt;"",E6="",COUNTIFS(Accounts!$A$5:$A$50,D6,Accounts!$D$5:$D$50,"Asset")=1),AND(D6="",E6&lt;&gt;"",COUNTIFS(Accounts!$A$5:$A$50,E6,Accounts!$D$5:$D$50,"Asset")=1))),AND(B6="Adjustment",F6="",OR(AND(D6&lt;&gt;"",E6="",COUNTIF(Accounts!$A$5:$A$50,D6)=1),AND(D6="",E6&lt;&gt;"",COUNTIF(Accounts!$A$5:$A$50,E6)=1)))),"OK","CHECK: Type / account / category combination")))</f>
        <v>OK</v>
      </c>
    </row>
    <row r="7" spans="1:9">
      <c r="A7" s="56">
        <v>46268</v>
      </c>
      <c r="B7" t="s">
        <v>36</v>
      </c>
      <c r="C7" s="57">
        <v>200000</v>
      </c>
      <c r="D7" t="s">
        <v>99</v>
      </c>
      <c r="F7" t="s">
        <v>66</v>
      </c>
      <c r="G7" t="s">
        <v>171</v>
      </c>
      <c r="H7" t="s">
        <v>172</v>
      </c>
      <c r="I7" s="12" t="str">
        <f>IF(COUNTA(A7:H7)=0,"",IF(OR(A7="",B7="",C7="",C7&lt;=0),"CHECK: Date, Type and positive Amount required",IF(OR(AND(B7="Income",D7="",E7&lt;&gt;"",F7&lt;&gt;"",COUNTIFS(Accounts!$A$5:$A$50,E7,Accounts!$D$5:$D$50,"Asset")=1,COUNTIFS(Categories!$A$5:$A$100,F7,Categories!$C$5:$C$100,"Income")=1),AND(B7="Expense",D7&lt;&gt;"",E7="",F7&lt;&gt;"",COUNTIF(Accounts!$A$5:$A$50,D7)=1,COUNTIFS(Categories!$A$5:$A$100,F7,Categories!$C$5:$C$100,"Expense")=1),AND(B7="Refund",D7="",E7&lt;&gt;"",F7&lt;&gt;"",COUNTIF(Accounts!$A$5:$A$50,E7)=1,COUNTIFS(Categories!$A$5:$A$100,F7,Categories!$C$5:$C$100,"Expense")=1),AND(B7="Transfer",D7&lt;&gt;"",E7&lt;&gt;"",D7&lt;&gt;E7,F7="",COUNTIF(Accounts!$A$5:$A$50,D7)=1,COUNTIF(Accounts!$A$5:$A$50,E7)=1),AND(B7="Allocation",F7="Savings &amp; Investment",OR(AND(D7&lt;&gt;"",E7="",COUNTIFS(Accounts!$A$5:$A$50,D7,Accounts!$D$5:$D$50,"Asset")=1),AND(D7="",E7&lt;&gt;"",COUNTIFS(Accounts!$A$5:$A$50,E7,Accounts!$D$5:$D$50,"Asset")=1))),AND(B7="Adjustment",F7="",OR(AND(D7&lt;&gt;"",E7="",COUNTIF(Accounts!$A$5:$A$50,D7)=1),AND(D7="",E7&lt;&gt;"",COUNTIF(Accounts!$A$5:$A$50,E7)=1)))),"OK","CHECK: Type / account / category combination")))</f>
        <v>OK</v>
      </c>
    </row>
    <row r="8" spans="1:9">
      <c r="A8" s="56">
        <v>46269</v>
      </c>
      <c r="B8" t="s">
        <v>45</v>
      </c>
      <c r="C8" s="57">
        <v>100000</v>
      </c>
      <c r="D8" t="s">
        <v>97</v>
      </c>
      <c r="E8" t="s">
        <v>99</v>
      </c>
      <c r="H8" t="s">
        <v>173</v>
      </c>
      <c r="I8" s="12" t="str">
        <f>IF(COUNTA(A8:H8)=0,"",IF(OR(A8="",B8="",C8="",C8&lt;=0),"CHECK: Date, Type and positive Amount required",IF(OR(AND(B8="Income",D8="",E8&lt;&gt;"",F8&lt;&gt;"",COUNTIFS(Accounts!$A$5:$A$50,E8,Accounts!$D$5:$D$50,"Asset")=1,COUNTIFS(Categories!$A$5:$A$100,F8,Categories!$C$5:$C$100,"Income")=1),AND(B8="Expense",D8&lt;&gt;"",E8="",F8&lt;&gt;"",COUNTIF(Accounts!$A$5:$A$50,D8)=1,COUNTIFS(Categories!$A$5:$A$100,F8,Categories!$C$5:$C$100,"Expense")=1),AND(B8="Refund",D8="",E8&lt;&gt;"",F8&lt;&gt;"",COUNTIF(Accounts!$A$5:$A$50,E8)=1,COUNTIFS(Categories!$A$5:$A$100,F8,Categories!$C$5:$C$100,"Expense")=1),AND(B8="Transfer",D8&lt;&gt;"",E8&lt;&gt;"",D8&lt;&gt;E8,F8="",COUNTIF(Accounts!$A$5:$A$50,D8)=1,COUNTIF(Accounts!$A$5:$A$50,E8)=1),AND(B8="Allocation",F8="Savings &amp; Investment",OR(AND(D8&lt;&gt;"",E8="",COUNTIFS(Accounts!$A$5:$A$50,D8,Accounts!$D$5:$D$50,"Asset")=1),AND(D8="",E8&lt;&gt;"",COUNTIFS(Accounts!$A$5:$A$50,E8,Accounts!$D$5:$D$50,"Asset")=1))),AND(B8="Adjustment",F8="",OR(AND(D8&lt;&gt;"",E8="",COUNTIF(Accounts!$A$5:$A$50,D8)=1),AND(D8="",E8&lt;&gt;"",COUNTIF(Accounts!$A$5:$A$50,E8)=1)))),"OK","CHECK: Type / account / category combination")))</f>
        <v>OK</v>
      </c>
    </row>
    <row r="9" spans="1:9">
      <c r="A9" s="56">
        <v>46270</v>
      </c>
      <c r="B9" t="s">
        <v>45</v>
      </c>
      <c r="C9" s="57">
        <v>50000</v>
      </c>
      <c r="D9" t="s">
        <v>97</v>
      </c>
      <c r="E9" t="s">
        <v>165</v>
      </c>
      <c r="H9" t="s">
        <v>174</v>
      </c>
      <c r="I9" s="12" t="str">
        <f>IF(COUNTA(A9:H9)=0,"",IF(OR(A9="",B9="",C9="",C9&lt;=0),"CHECK: Date, Type and positive Amount required",IF(OR(AND(B9="Income",D9="",E9&lt;&gt;"",F9&lt;&gt;"",COUNTIFS(Accounts!$A$5:$A$50,E9,Accounts!$D$5:$D$50,"Asset")=1,COUNTIFS(Categories!$A$5:$A$100,F9,Categories!$C$5:$C$100,"Income")=1),AND(B9="Expense",D9&lt;&gt;"",E9="",F9&lt;&gt;"",COUNTIF(Accounts!$A$5:$A$50,D9)=1,COUNTIFS(Categories!$A$5:$A$100,F9,Categories!$C$5:$C$100,"Expense")=1),AND(B9="Refund",D9="",E9&lt;&gt;"",F9&lt;&gt;"",COUNTIF(Accounts!$A$5:$A$50,E9)=1,COUNTIFS(Categories!$A$5:$A$100,F9,Categories!$C$5:$C$100,"Expense")=1),AND(B9="Transfer",D9&lt;&gt;"",E9&lt;&gt;"",D9&lt;&gt;E9,F9="",COUNTIF(Accounts!$A$5:$A$50,D9)=1,COUNTIF(Accounts!$A$5:$A$50,E9)=1),AND(B9="Allocation",F9="Savings &amp; Investment",OR(AND(D9&lt;&gt;"",E9="",COUNTIFS(Accounts!$A$5:$A$50,D9,Accounts!$D$5:$D$50,"Asset")=1),AND(D9="",E9&lt;&gt;"",COUNTIFS(Accounts!$A$5:$A$50,E9,Accounts!$D$5:$D$50,"Asset")=1))),AND(B9="Adjustment",F9="",OR(AND(D9&lt;&gt;"",E9="",COUNTIF(Accounts!$A$5:$A$50,D9)=1),AND(D9="",E9&lt;&gt;"",COUNTIF(Accounts!$A$5:$A$50,E9)=1)))),"OK","CHECK: Type / account / category combination")))</f>
        <v>OK</v>
      </c>
    </row>
    <row r="10" spans="1:9">
      <c r="A10" s="56">
        <v>46271</v>
      </c>
      <c r="B10" t="s">
        <v>40</v>
      </c>
      <c r="C10" s="57">
        <v>20000</v>
      </c>
      <c r="E10" t="s">
        <v>99</v>
      </c>
      <c r="F10" t="s">
        <v>66</v>
      </c>
      <c r="G10" s="57" t="s">
        <v>171</v>
      </c>
      <c r="H10" t="s">
        <v>175</v>
      </c>
      <c r="I10" s="12" t="str">
        <f>IF(COUNTA(A10:H10)=0,"",IF(OR(A10="",B10="",C10="",C10&lt;=0),"CHECK: Date, Type and positive Amount required",IF(OR(AND(B10="Income",D10="",E10&lt;&gt;"",F10&lt;&gt;"",COUNTIFS(Accounts!$A$5:$A$50,E10,Accounts!$D$5:$D$50,"Asset")=1,COUNTIFS(Categories!$A$5:$A$100,F10,Categories!$C$5:$C$100,"Income")=1),AND(B10="Expense",D10&lt;&gt;"",E10="",F10&lt;&gt;"",COUNTIF(Accounts!$A$5:$A$50,D10)=1,COUNTIFS(Categories!$A$5:$A$100,F10,Categories!$C$5:$C$100,"Expense")=1),AND(B10="Refund",D10="",E10&lt;&gt;"",F10&lt;&gt;"",COUNTIF(Accounts!$A$5:$A$50,E10)=1,COUNTIFS(Categories!$A$5:$A$100,F10,Categories!$C$5:$C$100,"Expense")=1),AND(B10="Transfer",D10&lt;&gt;"",E10&lt;&gt;"",D10&lt;&gt;E10,F10="",COUNTIF(Accounts!$A$5:$A$50,D10)=1,COUNTIF(Accounts!$A$5:$A$50,E10)=1),AND(B10="Allocation",F10="Savings &amp; Investment",OR(AND(D10&lt;&gt;"",E10="",COUNTIFS(Accounts!$A$5:$A$50,D10,Accounts!$D$5:$D$50,"Asset")=1),AND(D10="",E10&lt;&gt;"",COUNTIFS(Accounts!$A$5:$A$50,E10,Accounts!$D$5:$D$50,"Asset")=1))),AND(B10="Adjustment",F10="",OR(AND(D10&lt;&gt;"",E10="",COUNTIF(Accounts!$A$5:$A$50,D10)=1),AND(D10="",E10&lt;&gt;"",COUNTIF(Accounts!$A$5:$A$50,E10)=1)))),"OK","CHECK: Type / account / category combination")))</f>
        <v>OK</v>
      </c>
    </row>
    <row r="11" spans="1:9">
      <c r="A11" s="56">
        <v>46272</v>
      </c>
      <c r="B11" t="s">
        <v>49</v>
      </c>
      <c r="C11" s="57">
        <v>400000</v>
      </c>
      <c r="D11" t="s">
        <v>97</v>
      </c>
      <c r="F11" t="s">
        <v>50</v>
      </c>
      <c r="H11" t="s">
        <v>176</v>
      </c>
      <c r="I11" s="12" t="str">
        <f>IF(COUNTA(A11:H11)=0,"",IF(OR(A11="",B11="",C11="",C11&lt;=0),"CHECK: Date, Type and positive Amount required",IF(OR(AND(B11="Income",D11="",E11&lt;&gt;"",F11&lt;&gt;"",COUNTIFS(Accounts!$A$5:$A$50,E11,Accounts!$D$5:$D$50,"Asset")=1,COUNTIFS(Categories!$A$5:$A$100,F11,Categories!$C$5:$C$100,"Income")=1),AND(B11="Expense",D11&lt;&gt;"",E11="",F11&lt;&gt;"",COUNTIF(Accounts!$A$5:$A$50,D11)=1,COUNTIFS(Categories!$A$5:$A$100,F11,Categories!$C$5:$C$100,"Expense")=1),AND(B11="Refund",D11="",E11&lt;&gt;"",F11&lt;&gt;"",COUNTIF(Accounts!$A$5:$A$50,E11)=1,COUNTIFS(Categories!$A$5:$A$100,F11,Categories!$C$5:$C$100,"Expense")=1),AND(B11="Transfer",D11&lt;&gt;"",E11&lt;&gt;"",D11&lt;&gt;E11,F11="",COUNTIF(Accounts!$A$5:$A$50,D11)=1,COUNTIF(Accounts!$A$5:$A$50,E11)=1),AND(B11="Allocation",F11="Savings &amp; Investment",OR(AND(D11&lt;&gt;"",E11="",COUNTIFS(Accounts!$A$5:$A$50,D11,Accounts!$D$5:$D$50,"Asset")=1),AND(D11="",E11&lt;&gt;"",COUNTIFS(Accounts!$A$5:$A$50,E11,Accounts!$D$5:$D$50,"Asset")=1))),AND(B11="Adjustment",F11="",OR(AND(D11&lt;&gt;"",E11="",COUNTIF(Accounts!$A$5:$A$50,D11)=1),AND(D11="",E11&lt;&gt;"",COUNTIF(Accounts!$A$5:$A$50,E11)=1)))),"OK","CHECK: Type / account / category combination")))</f>
        <v>OK</v>
      </c>
    </row>
    <row r="12" spans="1:9">
      <c r="A12" s="56">
        <v>46273</v>
      </c>
      <c r="B12" t="s">
        <v>49</v>
      </c>
      <c r="C12" s="57">
        <v>100000</v>
      </c>
      <c r="E12" t="s">
        <v>97</v>
      </c>
      <c r="F12" t="s">
        <v>50</v>
      </c>
      <c r="H12" t="s">
        <v>177</v>
      </c>
      <c r="I12" s="12" t="str">
        <f>IF(COUNTA(A12:H12)=0,"",IF(OR(A12="",B12="",C12="",C12&lt;=0),"CHECK: Date, Type and positive Amount required",IF(OR(AND(B12="Income",D12="",E12&lt;&gt;"",F12&lt;&gt;"",COUNTIFS(Accounts!$A$5:$A$50,E12,Accounts!$D$5:$D$50,"Asset")=1,COUNTIFS(Categories!$A$5:$A$100,F12,Categories!$C$5:$C$100,"Income")=1),AND(B12="Expense",D12&lt;&gt;"",E12="",F12&lt;&gt;"",COUNTIF(Accounts!$A$5:$A$50,D12)=1,COUNTIFS(Categories!$A$5:$A$100,F12,Categories!$C$5:$C$100,"Expense")=1),AND(B12="Refund",D12="",E12&lt;&gt;"",F12&lt;&gt;"",COUNTIF(Accounts!$A$5:$A$50,E12)=1,COUNTIFS(Categories!$A$5:$A$100,F12,Categories!$C$5:$C$100,"Expense")=1),AND(B12="Transfer",D12&lt;&gt;"",E12&lt;&gt;"",D12&lt;&gt;E12,F12="",COUNTIF(Accounts!$A$5:$A$50,D12)=1,COUNTIF(Accounts!$A$5:$A$50,E12)=1),AND(B12="Allocation",F12="Savings &amp; Investment",OR(AND(D12&lt;&gt;"",E12="",COUNTIFS(Accounts!$A$5:$A$50,D12,Accounts!$D$5:$D$50,"Asset")=1),AND(D12="",E12&lt;&gt;"",COUNTIFS(Accounts!$A$5:$A$50,E12,Accounts!$D$5:$D$50,"Asset")=1))),AND(B12="Adjustment",F12="",OR(AND(D12&lt;&gt;"",E12="",COUNTIF(Accounts!$A$5:$A$50,D12)=1),AND(D12="",E12&lt;&gt;"",COUNTIF(Accounts!$A$5:$A$50,E12)=1)))),"OK","CHECK: Type / account / category combination")))</f>
        <v>OK</v>
      </c>
    </row>
    <row r="13" spans="1:9">
      <c r="A13" s="56">
        <v>46274</v>
      </c>
      <c r="B13" t="s">
        <v>45</v>
      </c>
      <c r="C13" s="57">
        <v>30000</v>
      </c>
      <c r="D13" t="s">
        <v>99</v>
      </c>
      <c r="E13" t="s">
        <v>97</v>
      </c>
      <c r="H13" t="s">
        <v>178</v>
      </c>
      <c r="I13" s="13" t="str">
        <f>IF(COUNTA(A13:H13)=0,"",IF(OR(A13="",B13="",C13="",C13&lt;=0),"CHECK: Date, Type and positive Amount required",IF(OR(AND(B13="Income",D13="",E13&lt;&gt;"",F13&lt;&gt;"",COUNTIFS(Accounts!$A$5:$A$50,E13,Accounts!$D$5:$D$50,"Asset")=1,COUNTIFS(Categories!$A$5:$A$100,F13,Categories!$C$5:$C$100,"Income")=1),AND(B13="Expense",D13&lt;&gt;"",E13="",F13&lt;&gt;"",COUNTIF(Accounts!$A$5:$A$50,D13)=1,COUNTIFS(Categories!$A$5:$A$100,F13,Categories!$C$5:$C$100,"Expense")=1),AND(B13="Refund",D13="",E13&lt;&gt;"",F13&lt;&gt;"",COUNTIF(Accounts!$A$5:$A$50,E13)=1,COUNTIFS(Categories!$A$5:$A$100,F13,Categories!$C$5:$C$100,"Expense")=1),AND(B13="Transfer",D13&lt;&gt;"",E13&lt;&gt;"",D13&lt;&gt;E13,F13="",COUNTIF(Accounts!$A$5:$A$50,D13)=1,COUNTIF(Accounts!$A$5:$A$50,E13)=1),AND(B13="Allocation",F13="Savings &amp; Investment",OR(AND(D13&lt;&gt;"",E13="",COUNTIFS(Accounts!$A$5:$A$50,D13,Accounts!$D$5:$D$50,"Asset")=1),AND(D13="",E13&lt;&gt;"",COUNTIFS(Accounts!$A$5:$A$50,E13,Accounts!$D$5:$D$50,"Asset")=1))),AND(B13="Adjustment",F13="",OR(AND(D13&lt;&gt;"",E13="",COUNTIF(Accounts!$A$5:$A$50,D13)=1),AND(D13="",E13&lt;&gt;"",COUNTIF(Accounts!$A$5:$A$50,E13)=1)))),"OK","CHECK: Type / account / category combination")))</f>
        <v>OK</v>
      </c>
    </row>
    <row r="14" spans="1:9">
      <c r="A14" s="56">
        <v>46275</v>
      </c>
      <c r="B14" t="s">
        <v>36</v>
      </c>
      <c r="C14" s="57">
        <v>10000</v>
      </c>
      <c r="D14" t="s">
        <v>99</v>
      </c>
      <c r="F14" t="s">
        <v>126</v>
      </c>
      <c r="G14" t="s">
        <v>164</v>
      </c>
      <c r="H14" t="s">
        <v>179</v>
      </c>
      <c r="I14" s="13" t="str">
        <f>IF(COUNTA(A14:H14)=0,"",IF(OR(A14="",B14="",C14="",C14&lt;=0),"CHECK: Date, Type and positive Amount required",IF(OR(AND(B14="Income",D14="",E14&lt;&gt;"",F14&lt;&gt;"",COUNTIFS(Accounts!$A$5:$A$50,E14,Accounts!$D$5:$D$50,"Asset")=1,COUNTIFS(Categories!$A$5:$A$100,F14,Categories!$C$5:$C$100,"Income")=1),AND(B14="Expense",D14&lt;&gt;"",E14="",F14&lt;&gt;"",COUNTIF(Accounts!$A$5:$A$50,D14)=1,COUNTIFS(Categories!$A$5:$A$100,F14,Categories!$C$5:$C$100,"Expense")=1),AND(B14="Refund",D14="",E14&lt;&gt;"",F14&lt;&gt;"",COUNTIF(Accounts!$A$5:$A$50,E14)=1,COUNTIFS(Categories!$A$5:$A$100,F14,Categories!$C$5:$C$100,"Expense")=1),AND(B14="Transfer",D14&lt;&gt;"",E14&lt;&gt;"",D14&lt;&gt;E14,F14="",COUNTIF(Accounts!$A$5:$A$50,D14)=1,COUNTIF(Accounts!$A$5:$A$50,E14)=1),AND(B14="Allocation",F14="Savings &amp; Investment",OR(AND(D14&lt;&gt;"",E14="",COUNTIFS(Accounts!$A$5:$A$50,D14,Accounts!$D$5:$D$50,"Asset")=1),AND(D14="",E14&lt;&gt;"",COUNTIFS(Accounts!$A$5:$A$50,E14,Accounts!$D$5:$D$50,"Asset")=1))),AND(B14="Adjustment",F14="",OR(AND(D14&lt;&gt;"",E14="",COUNTIF(Accounts!$A$5:$A$50,D14)=1),AND(D14="",E14&lt;&gt;"",COUNTIF(Accounts!$A$5:$A$50,E14)=1)))),"OK","CHECK: Type / account / category combination")))</f>
        <v>OK</v>
      </c>
    </row>
    <row r="15" spans="1:9">
      <c r="A15" s="56">
        <v>46276</v>
      </c>
      <c r="B15" t="s">
        <v>40</v>
      </c>
      <c r="C15" s="57">
        <v>50000</v>
      </c>
      <c r="E15" t="s">
        <v>97</v>
      </c>
      <c r="F15" t="s">
        <v>64</v>
      </c>
      <c r="G15" t="s">
        <v>169</v>
      </c>
      <c r="H15" t="s">
        <v>180</v>
      </c>
      <c r="I15" s="13" t="str">
        <f>IF(COUNTA(A15:H15)=0,"",IF(OR(A15="",B15="",C15="",C15&lt;=0),"CHECK: Date, Type and positive Amount required",IF(OR(AND(B15="Income",D15="",E15&lt;&gt;"",F15&lt;&gt;"",COUNTIFS(Accounts!$A$5:$A$50,E15,Accounts!$D$5:$D$50,"Asset")=1,COUNTIFS(Categories!$A$5:$A$100,F15,Categories!$C$5:$C$100,"Income")=1),AND(B15="Expense",D15&lt;&gt;"",E15="",F15&lt;&gt;"",COUNTIF(Accounts!$A$5:$A$50,D15)=1,COUNTIFS(Categories!$A$5:$A$100,F15,Categories!$C$5:$C$100,"Expense")=1),AND(B15="Refund",D15="",E15&lt;&gt;"",F15&lt;&gt;"",COUNTIF(Accounts!$A$5:$A$50,E15)=1,COUNTIFS(Categories!$A$5:$A$100,F15,Categories!$C$5:$C$100,"Expense")=1),AND(B15="Transfer",D15&lt;&gt;"",E15&lt;&gt;"",D15&lt;&gt;E15,F15="",COUNTIF(Accounts!$A$5:$A$50,D15)=1,COUNTIF(Accounts!$A$5:$A$50,E15)=1),AND(B15="Allocation",F15="Savings &amp; Investment",OR(AND(D15&lt;&gt;"",E15="",COUNTIFS(Accounts!$A$5:$A$50,D15,Accounts!$D$5:$D$50,"Asset")=1),AND(D15="",E15&lt;&gt;"",COUNTIFS(Accounts!$A$5:$A$50,E15,Accounts!$D$5:$D$50,"Asset")=1))),AND(B15="Adjustment",F15="",OR(AND(D15&lt;&gt;"",E15="",COUNTIF(Accounts!$A$5:$A$50,D15)=1),AND(D15="",E15&lt;&gt;"",COUNTIF(Accounts!$A$5:$A$50,E15)=1)))),"OK","CHECK: Type / account / category combination")))</f>
        <v>OK</v>
      </c>
    </row>
    <row r="16" spans="1:9">
      <c r="A16" s="56">
        <v>46277</v>
      </c>
      <c r="B16" t="s">
        <v>52</v>
      </c>
      <c r="C16" s="57">
        <v>5000</v>
      </c>
      <c r="E16" t="s">
        <v>165</v>
      </c>
      <c r="H16" t="s">
        <v>181</v>
      </c>
      <c r="I16" s="13" t="str">
        <f>IF(COUNTA(A16:H16)=0,"",IF(OR(A16="",B16="",C16="",C16&lt;=0),"CHECK: Date, Type and positive Amount required",IF(OR(AND(B16="Income",D16="",E16&lt;&gt;"",F16&lt;&gt;"",COUNTIFS(Accounts!$A$5:$A$50,E16,Accounts!$D$5:$D$50,"Asset")=1,COUNTIFS(Categories!$A$5:$A$100,F16,Categories!$C$5:$C$100,"Income")=1),AND(B16="Expense",D16&lt;&gt;"",E16="",F16&lt;&gt;"",COUNTIF(Accounts!$A$5:$A$50,D16)=1,COUNTIFS(Categories!$A$5:$A$100,F16,Categories!$C$5:$C$100,"Expense")=1),AND(B16="Refund",D16="",E16&lt;&gt;"",F16&lt;&gt;"",COUNTIF(Accounts!$A$5:$A$50,E16)=1,COUNTIFS(Categories!$A$5:$A$100,F16,Categories!$C$5:$C$100,"Expense")=1),AND(B16="Transfer",D16&lt;&gt;"",E16&lt;&gt;"",D16&lt;&gt;E16,F16="",COUNTIF(Accounts!$A$5:$A$50,D16)=1,COUNTIF(Accounts!$A$5:$A$50,E16)=1),AND(B16="Allocation",F16="Savings &amp; Investment",OR(AND(D16&lt;&gt;"",E16="",COUNTIFS(Accounts!$A$5:$A$50,D16,Accounts!$D$5:$D$50,"Asset")=1),AND(D16="",E16&lt;&gt;"",COUNTIFS(Accounts!$A$5:$A$50,E16,Accounts!$D$5:$D$50,"Asset")=1))),AND(B16="Adjustment",F16="",OR(AND(D16&lt;&gt;"",E16="",COUNTIF(Accounts!$A$5:$A$50,D16)=1),AND(D16="",E16&lt;&gt;"",COUNTIF(Accounts!$A$5:$A$50,E16)=1)))),"OK","CHECK: Type / account / category combination")))</f>
        <v>OK</v>
      </c>
    </row>
    <row r="17" spans="1:9">
      <c r="A17" s="56"/>
      <c r="C17" s="57"/>
      <c r="I17" s="13" t="str">
        <f>IF(COUNTA(A17:H17)=0,"",IF(OR(A17="",B17="",C17="",C17&lt;=0),"CHECK: Date, Type and positive Amount required",IF(OR(AND(B17="Income",D17="",E17&lt;&gt;"",F17&lt;&gt;"",COUNTIFS(Accounts!$A$5:$A$50,E17,Accounts!$D$5:$D$50,"Asset")=1,COUNTIFS(Categories!$A$5:$A$100,F17,Categories!$C$5:$C$100,"Income")=1),AND(B17="Expense",D17&lt;&gt;"",E17="",F17&lt;&gt;"",COUNTIF(Accounts!$A$5:$A$50,D17)=1,COUNTIFS(Categories!$A$5:$A$100,F17,Categories!$C$5:$C$100,"Expense")=1),AND(B17="Refund",D17="",E17&lt;&gt;"",F17&lt;&gt;"",COUNTIF(Accounts!$A$5:$A$50,E17)=1,COUNTIFS(Categories!$A$5:$A$100,F17,Categories!$C$5:$C$100,"Expense")=1),AND(B17="Transfer",D17&lt;&gt;"",E17&lt;&gt;"",D17&lt;&gt;E17,F17="",COUNTIF(Accounts!$A$5:$A$50,D17)=1,COUNTIF(Accounts!$A$5:$A$50,E17)=1),AND(B17="Allocation",F17="Savings &amp; Investment",OR(AND(D17&lt;&gt;"",E17="",COUNTIFS(Accounts!$A$5:$A$50,D17,Accounts!$D$5:$D$50,"Asset")=1),AND(D17="",E17&lt;&gt;"",COUNTIFS(Accounts!$A$5:$A$50,E17,Accounts!$D$5:$D$50,"Asset")=1))),AND(B17="Adjustment",F17="",OR(AND(D17&lt;&gt;"",E17="",COUNTIF(Accounts!$A$5:$A$50,D17)=1),AND(D17="",E17&lt;&gt;"",COUNTIF(Accounts!$A$5:$A$50,E17)=1)))),"OK","CHECK: Type / account / category combination")))</f>
        <v/>
      </c>
    </row>
    <row r="18" spans="1:9">
      <c r="A18" s="56"/>
      <c r="C18" s="57"/>
      <c r="I18" s="13" t="str">
        <f>IF(COUNTA(A18:H18)=0,"",IF(OR(A18="",B18="",C18="",C18&lt;=0),"CHECK: Date, Type and positive Amount required",IF(OR(AND(B18="Income",D18="",E18&lt;&gt;"",F18&lt;&gt;"",COUNTIFS(Accounts!$A$5:$A$50,E18,Accounts!$D$5:$D$50,"Asset")=1,COUNTIFS(Categories!$A$5:$A$100,F18,Categories!$C$5:$C$100,"Income")=1),AND(B18="Expense",D18&lt;&gt;"",E18="",F18&lt;&gt;"",COUNTIF(Accounts!$A$5:$A$50,D18)=1,COUNTIFS(Categories!$A$5:$A$100,F18,Categories!$C$5:$C$100,"Expense")=1),AND(B18="Refund",D18="",E18&lt;&gt;"",F18&lt;&gt;"",COUNTIF(Accounts!$A$5:$A$50,E18)=1,COUNTIFS(Categories!$A$5:$A$100,F18,Categories!$C$5:$C$100,"Expense")=1),AND(B18="Transfer",D18&lt;&gt;"",E18&lt;&gt;"",D18&lt;&gt;E18,F18="",COUNTIF(Accounts!$A$5:$A$50,D18)=1,COUNTIF(Accounts!$A$5:$A$50,E18)=1),AND(B18="Allocation",F18="Savings &amp; Investment",OR(AND(D18&lt;&gt;"",E18="",COUNTIFS(Accounts!$A$5:$A$50,D18,Accounts!$D$5:$D$50,"Asset")=1),AND(D18="",E18&lt;&gt;"",COUNTIFS(Accounts!$A$5:$A$50,E18,Accounts!$D$5:$D$50,"Asset")=1))),AND(B18="Adjustment",F18="",OR(AND(D18&lt;&gt;"",E18="",COUNTIF(Accounts!$A$5:$A$50,D18)=1),AND(D18="",E18&lt;&gt;"",COUNTIF(Accounts!$A$5:$A$50,E18)=1)))),"OK","CHECK: Type / account / category combination")))</f>
        <v/>
      </c>
    </row>
    <row r="19" spans="1:9">
      <c r="A19" s="56"/>
      <c r="C19" s="57"/>
      <c r="I19" s="13" t="str">
        <f>IF(COUNTA(A19:H19)=0,"",IF(OR(A19="",B19="",C19="",C19&lt;=0),"CHECK: Date, Type and positive Amount required",IF(OR(AND(B19="Income",D19="",E19&lt;&gt;"",F19&lt;&gt;"",COUNTIFS(Accounts!$A$5:$A$50,E19,Accounts!$D$5:$D$50,"Asset")=1,COUNTIFS(Categories!$A$5:$A$100,F19,Categories!$C$5:$C$100,"Income")=1),AND(B19="Expense",D19&lt;&gt;"",E19="",F19&lt;&gt;"",COUNTIF(Accounts!$A$5:$A$50,D19)=1,COUNTIFS(Categories!$A$5:$A$100,F19,Categories!$C$5:$C$100,"Expense")=1),AND(B19="Refund",D19="",E19&lt;&gt;"",F19&lt;&gt;"",COUNTIF(Accounts!$A$5:$A$50,E19)=1,COUNTIFS(Categories!$A$5:$A$100,F19,Categories!$C$5:$C$100,"Expense")=1),AND(B19="Transfer",D19&lt;&gt;"",E19&lt;&gt;"",D19&lt;&gt;E19,F19="",COUNTIF(Accounts!$A$5:$A$50,D19)=1,COUNTIF(Accounts!$A$5:$A$50,E19)=1),AND(B19="Allocation",F19="Savings &amp; Investment",OR(AND(D19&lt;&gt;"",E19="",COUNTIFS(Accounts!$A$5:$A$50,D19,Accounts!$D$5:$D$50,"Asset")=1),AND(D19="",E19&lt;&gt;"",COUNTIFS(Accounts!$A$5:$A$50,E19,Accounts!$D$5:$D$50,"Asset")=1))),AND(B19="Adjustment",F19="",OR(AND(D19&lt;&gt;"",E19="",COUNTIF(Accounts!$A$5:$A$50,D19)=1),AND(D19="",E19&lt;&gt;"",COUNTIF(Accounts!$A$5:$A$50,E19)=1)))),"OK","CHECK: Type / account / category combination")))</f>
        <v/>
      </c>
    </row>
    <row r="20" spans="1:9">
      <c r="A20" s="56"/>
      <c r="C20" s="57"/>
      <c r="I20" s="13" t="str">
        <f>IF(COUNTA(A20:H20)=0,"",IF(OR(A20="",B20="",C20="",C20&lt;=0),"CHECK: Date, Type and positive Amount required",IF(OR(AND(B20="Income",D20="",E20&lt;&gt;"",F20&lt;&gt;"",COUNTIFS(Accounts!$A$5:$A$50,E20,Accounts!$D$5:$D$50,"Asset")=1,COUNTIFS(Categories!$A$5:$A$100,F20,Categories!$C$5:$C$100,"Income")=1),AND(B20="Expense",D20&lt;&gt;"",E20="",F20&lt;&gt;"",COUNTIF(Accounts!$A$5:$A$50,D20)=1,COUNTIFS(Categories!$A$5:$A$100,F20,Categories!$C$5:$C$100,"Expense")=1),AND(B20="Refund",D20="",E20&lt;&gt;"",F20&lt;&gt;"",COUNTIF(Accounts!$A$5:$A$50,E20)=1,COUNTIFS(Categories!$A$5:$A$100,F20,Categories!$C$5:$C$100,"Expense")=1),AND(B20="Transfer",D20&lt;&gt;"",E20&lt;&gt;"",D20&lt;&gt;E20,F20="",COUNTIF(Accounts!$A$5:$A$50,D20)=1,COUNTIF(Accounts!$A$5:$A$50,E20)=1),AND(B20="Allocation",F20="Savings &amp; Investment",OR(AND(D20&lt;&gt;"",E20="",COUNTIFS(Accounts!$A$5:$A$50,D20,Accounts!$D$5:$D$50,"Asset")=1),AND(D20="",E20&lt;&gt;"",COUNTIFS(Accounts!$A$5:$A$50,E20,Accounts!$D$5:$D$50,"Asset")=1))),AND(B20="Adjustment",F20="",OR(AND(D20&lt;&gt;"",E20="",COUNTIF(Accounts!$A$5:$A$50,D20)=1),AND(D20="",E20&lt;&gt;"",COUNTIF(Accounts!$A$5:$A$50,E20)=1)))),"OK","CHECK: Type / account / category combination")))</f>
        <v/>
      </c>
    </row>
    <row r="21" spans="1:9">
      <c r="A21" s="56"/>
      <c r="C21" s="57"/>
      <c r="I21" s="13" t="str">
        <f>IF(COUNTA(A21:H21)=0,"",IF(OR(A21="",B21="",C21="",C21&lt;=0),"CHECK: Date, Type and positive Amount required",IF(OR(AND(B21="Income",D21="",E21&lt;&gt;"",F21&lt;&gt;"",COUNTIFS(Accounts!$A$5:$A$50,E21,Accounts!$D$5:$D$50,"Asset")=1,COUNTIFS(Categories!$A$5:$A$100,F21,Categories!$C$5:$C$100,"Income")=1),AND(B21="Expense",D21&lt;&gt;"",E21="",F21&lt;&gt;"",COUNTIF(Accounts!$A$5:$A$50,D21)=1,COUNTIFS(Categories!$A$5:$A$100,F21,Categories!$C$5:$C$100,"Expense")=1),AND(B21="Refund",D21="",E21&lt;&gt;"",F21&lt;&gt;"",COUNTIF(Accounts!$A$5:$A$50,E21)=1,COUNTIFS(Categories!$A$5:$A$100,F21,Categories!$C$5:$C$100,"Expense")=1),AND(B21="Transfer",D21&lt;&gt;"",E21&lt;&gt;"",D21&lt;&gt;E21,F21="",COUNTIF(Accounts!$A$5:$A$50,D21)=1,COUNTIF(Accounts!$A$5:$A$50,E21)=1),AND(B21="Allocation",F21="Savings &amp; Investment",OR(AND(D21&lt;&gt;"",E21="",COUNTIFS(Accounts!$A$5:$A$50,D21,Accounts!$D$5:$D$50,"Asset")=1),AND(D21="",E21&lt;&gt;"",COUNTIFS(Accounts!$A$5:$A$50,E21,Accounts!$D$5:$D$50,"Asset")=1))),AND(B21="Adjustment",F21="",OR(AND(D21&lt;&gt;"",E21="",COUNTIF(Accounts!$A$5:$A$50,D21)=1),AND(D21="",E21&lt;&gt;"",COUNTIF(Accounts!$A$5:$A$50,E21)=1)))),"OK","CHECK: Type / account / category combination")))</f>
        <v/>
      </c>
    </row>
    <row r="22" spans="1:9">
      <c r="A22" s="56"/>
      <c r="C22" s="57"/>
      <c r="I22" s="13" t="str">
        <f>IF(COUNTA(A22:H22)=0,"",IF(OR(A22="",B22="",C22="",C22&lt;=0),"CHECK: Date, Type and positive Amount required",IF(OR(AND(B22="Income",D22="",E22&lt;&gt;"",F22&lt;&gt;"",COUNTIFS(Accounts!$A$5:$A$50,E22,Accounts!$D$5:$D$50,"Asset")=1,COUNTIFS(Categories!$A$5:$A$100,F22,Categories!$C$5:$C$100,"Income")=1),AND(B22="Expense",D22&lt;&gt;"",E22="",F22&lt;&gt;"",COUNTIF(Accounts!$A$5:$A$50,D22)=1,COUNTIFS(Categories!$A$5:$A$100,F22,Categories!$C$5:$C$100,"Expense")=1),AND(B22="Refund",D22="",E22&lt;&gt;"",F22&lt;&gt;"",COUNTIF(Accounts!$A$5:$A$50,E22)=1,COUNTIFS(Categories!$A$5:$A$100,F22,Categories!$C$5:$C$100,"Expense")=1),AND(B22="Transfer",D22&lt;&gt;"",E22&lt;&gt;"",D22&lt;&gt;E22,F22="",COUNTIF(Accounts!$A$5:$A$50,D22)=1,COUNTIF(Accounts!$A$5:$A$50,E22)=1),AND(B22="Allocation",F22="Savings &amp; Investment",OR(AND(D22&lt;&gt;"",E22="",COUNTIFS(Accounts!$A$5:$A$50,D22,Accounts!$D$5:$D$50,"Asset")=1),AND(D22="",E22&lt;&gt;"",COUNTIFS(Accounts!$A$5:$A$50,E22,Accounts!$D$5:$D$50,"Asset")=1))),AND(B22="Adjustment",F22="",OR(AND(D22&lt;&gt;"",E22="",COUNTIF(Accounts!$A$5:$A$50,D22)=1),AND(D22="",E22&lt;&gt;"",COUNTIF(Accounts!$A$5:$A$50,E22)=1)))),"OK","CHECK: Type / account / category combination")))</f>
        <v/>
      </c>
    </row>
    <row r="23" spans="1:9">
      <c r="A23" s="56"/>
      <c r="C23" s="57"/>
      <c r="I23" s="13" t="str">
        <f>IF(COUNTA(A23:H23)=0,"",IF(OR(A23="",B23="",C23="",C23&lt;=0),"CHECK: Date, Type and positive Amount required",IF(OR(AND(B23="Income",D23="",E23&lt;&gt;"",F23&lt;&gt;"",COUNTIFS(Accounts!$A$5:$A$50,E23,Accounts!$D$5:$D$50,"Asset")=1,COUNTIFS(Categories!$A$5:$A$100,F23,Categories!$C$5:$C$100,"Income")=1),AND(B23="Expense",D23&lt;&gt;"",E23="",F23&lt;&gt;"",COUNTIF(Accounts!$A$5:$A$50,D23)=1,COUNTIFS(Categories!$A$5:$A$100,F23,Categories!$C$5:$C$100,"Expense")=1),AND(B23="Refund",D23="",E23&lt;&gt;"",F23&lt;&gt;"",COUNTIF(Accounts!$A$5:$A$50,E23)=1,COUNTIFS(Categories!$A$5:$A$100,F23,Categories!$C$5:$C$100,"Expense")=1),AND(B23="Transfer",D23&lt;&gt;"",E23&lt;&gt;"",D23&lt;&gt;E23,F23="",COUNTIF(Accounts!$A$5:$A$50,D23)=1,COUNTIF(Accounts!$A$5:$A$50,E23)=1),AND(B23="Allocation",F23="Savings &amp; Investment",OR(AND(D23&lt;&gt;"",E23="",COUNTIFS(Accounts!$A$5:$A$50,D23,Accounts!$D$5:$D$50,"Asset")=1),AND(D23="",E23&lt;&gt;"",COUNTIFS(Accounts!$A$5:$A$50,E23,Accounts!$D$5:$D$50,"Asset")=1))),AND(B23="Adjustment",F23="",OR(AND(D23&lt;&gt;"",E23="",COUNTIF(Accounts!$A$5:$A$50,D23)=1),AND(D23="",E23&lt;&gt;"",COUNTIF(Accounts!$A$5:$A$50,E23)=1)))),"OK","CHECK: Type / account / category combination")))</f>
        <v/>
      </c>
    </row>
    <row r="24" spans="1:9">
      <c r="A24" s="56"/>
      <c r="C24" s="57"/>
      <c r="I24" s="13" t="str">
        <f>IF(COUNTA(A24:H24)=0,"",IF(OR(A24="",B24="",C24="",C24&lt;=0),"CHECK: Date, Type and positive Amount required",IF(OR(AND(B24="Income",D24="",E24&lt;&gt;"",F24&lt;&gt;"",COUNTIFS(Accounts!$A$5:$A$50,E24,Accounts!$D$5:$D$50,"Asset")=1,COUNTIFS(Categories!$A$5:$A$100,F24,Categories!$C$5:$C$100,"Income")=1),AND(B24="Expense",D24&lt;&gt;"",E24="",F24&lt;&gt;"",COUNTIF(Accounts!$A$5:$A$50,D24)=1,COUNTIFS(Categories!$A$5:$A$100,F24,Categories!$C$5:$C$100,"Expense")=1),AND(B24="Refund",D24="",E24&lt;&gt;"",F24&lt;&gt;"",COUNTIF(Accounts!$A$5:$A$50,E24)=1,COUNTIFS(Categories!$A$5:$A$100,F24,Categories!$C$5:$C$100,"Expense")=1),AND(B24="Transfer",D24&lt;&gt;"",E24&lt;&gt;"",D24&lt;&gt;E24,F24="",COUNTIF(Accounts!$A$5:$A$50,D24)=1,COUNTIF(Accounts!$A$5:$A$50,E24)=1),AND(B24="Allocation",F24="Savings &amp; Investment",OR(AND(D24&lt;&gt;"",E24="",COUNTIFS(Accounts!$A$5:$A$50,D24,Accounts!$D$5:$D$50,"Asset")=1),AND(D24="",E24&lt;&gt;"",COUNTIFS(Accounts!$A$5:$A$50,E24,Accounts!$D$5:$D$50,"Asset")=1))),AND(B24="Adjustment",F24="",OR(AND(D24&lt;&gt;"",E24="",COUNTIF(Accounts!$A$5:$A$50,D24)=1),AND(D24="",E24&lt;&gt;"",COUNTIF(Accounts!$A$5:$A$50,E24)=1)))),"OK","CHECK: Type / account / category combination")))</f>
        <v/>
      </c>
    </row>
    <row r="25" spans="1:9">
      <c r="A25" s="56"/>
      <c r="C25" s="57"/>
      <c r="I25" s="13" t="str">
        <f>IF(COUNTA(A25:H25)=0,"",IF(OR(A25="",B25="",C25="",C25&lt;=0),"CHECK: Date, Type and positive Amount required",IF(OR(AND(B25="Income",D25="",E25&lt;&gt;"",F25&lt;&gt;"",COUNTIFS(Accounts!$A$5:$A$50,E25,Accounts!$D$5:$D$50,"Asset")=1,COUNTIFS(Categories!$A$5:$A$100,F25,Categories!$C$5:$C$100,"Income")=1),AND(B25="Expense",D25&lt;&gt;"",E25="",F25&lt;&gt;"",COUNTIF(Accounts!$A$5:$A$50,D25)=1,COUNTIFS(Categories!$A$5:$A$100,F25,Categories!$C$5:$C$100,"Expense")=1),AND(B25="Refund",D25="",E25&lt;&gt;"",F25&lt;&gt;"",COUNTIF(Accounts!$A$5:$A$50,E25)=1,COUNTIFS(Categories!$A$5:$A$100,F25,Categories!$C$5:$C$100,"Expense")=1),AND(B25="Transfer",D25&lt;&gt;"",E25&lt;&gt;"",D25&lt;&gt;E25,F25="",COUNTIF(Accounts!$A$5:$A$50,D25)=1,COUNTIF(Accounts!$A$5:$A$50,E25)=1),AND(B25="Allocation",F25="Savings &amp; Investment",OR(AND(D25&lt;&gt;"",E25="",COUNTIFS(Accounts!$A$5:$A$50,D25,Accounts!$D$5:$D$50,"Asset")=1),AND(D25="",E25&lt;&gt;"",COUNTIFS(Accounts!$A$5:$A$50,E25,Accounts!$D$5:$D$50,"Asset")=1))),AND(B25="Adjustment",F25="",OR(AND(D25&lt;&gt;"",E25="",COUNTIF(Accounts!$A$5:$A$50,D25)=1),AND(D25="",E25&lt;&gt;"",COUNTIF(Accounts!$A$5:$A$50,E25)=1)))),"OK","CHECK: Type / account / category combination")))</f>
        <v/>
      </c>
    </row>
    <row r="26" spans="1:9">
      <c r="A26" s="56"/>
      <c r="C26" s="57"/>
      <c r="I26" s="13" t="str">
        <f>IF(COUNTA(A26:H26)=0,"",IF(OR(A26="",B26="",C26="",C26&lt;=0),"CHECK: Date, Type and positive Amount required",IF(OR(AND(B26="Income",D26="",E26&lt;&gt;"",F26&lt;&gt;"",COUNTIFS(Accounts!$A$5:$A$50,E26,Accounts!$D$5:$D$50,"Asset")=1,COUNTIFS(Categories!$A$5:$A$100,F26,Categories!$C$5:$C$100,"Income")=1),AND(B26="Expense",D26&lt;&gt;"",E26="",F26&lt;&gt;"",COUNTIF(Accounts!$A$5:$A$50,D26)=1,COUNTIFS(Categories!$A$5:$A$100,F26,Categories!$C$5:$C$100,"Expense")=1),AND(B26="Refund",D26="",E26&lt;&gt;"",F26&lt;&gt;"",COUNTIF(Accounts!$A$5:$A$50,E26)=1,COUNTIFS(Categories!$A$5:$A$100,F26,Categories!$C$5:$C$100,"Expense")=1),AND(B26="Transfer",D26&lt;&gt;"",E26&lt;&gt;"",D26&lt;&gt;E26,F26="",COUNTIF(Accounts!$A$5:$A$50,D26)=1,COUNTIF(Accounts!$A$5:$A$50,E26)=1),AND(B26="Allocation",F26="Savings &amp; Investment",OR(AND(D26&lt;&gt;"",E26="",COUNTIFS(Accounts!$A$5:$A$50,D26,Accounts!$D$5:$D$50,"Asset")=1),AND(D26="",E26&lt;&gt;"",COUNTIFS(Accounts!$A$5:$A$50,E26,Accounts!$D$5:$D$50,"Asset")=1))),AND(B26="Adjustment",F26="",OR(AND(D26&lt;&gt;"",E26="",COUNTIF(Accounts!$A$5:$A$50,D26)=1),AND(D26="",E26&lt;&gt;"",COUNTIF(Accounts!$A$5:$A$50,E26)=1)))),"OK","CHECK: Type / account / category combination")))</f>
        <v/>
      </c>
    </row>
    <row r="27" spans="1:9">
      <c r="A27" s="56"/>
      <c r="C27" s="57"/>
      <c r="I27" s="13" t="str">
        <f>IF(COUNTA(A27:H27)=0,"",IF(OR(A27="",B27="",C27="",C27&lt;=0),"CHECK: Date, Type and positive Amount required",IF(OR(AND(B27="Income",D27="",E27&lt;&gt;"",F27&lt;&gt;"",COUNTIFS(Accounts!$A$5:$A$50,E27,Accounts!$D$5:$D$50,"Asset")=1,COUNTIFS(Categories!$A$5:$A$100,F27,Categories!$C$5:$C$100,"Income")=1),AND(B27="Expense",D27&lt;&gt;"",E27="",F27&lt;&gt;"",COUNTIF(Accounts!$A$5:$A$50,D27)=1,COUNTIFS(Categories!$A$5:$A$100,F27,Categories!$C$5:$C$100,"Expense")=1),AND(B27="Refund",D27="",E27&lt;&gt;"",F27&lt;&gt;"",COUNTIF(Accounts!$A$5:$A$50,E27)=1,COUNTIFS(Categories!$A$5:$A$100,F27,Categories!$C$5:$C$100,"Expense")=1),AND(B27="Transfer",D27&lt;&gt;"",E27&lt;&gt;"",D27&lt;&gt;E27,F27="",COUNTIF(Accounts!$A$5:$A$50,D27)=1,COUNTIF(Accounts!$A$5:$A$50,E27)=1),AND(B27="Allocation",F27="Savings &amp; Investment",OR(AND(D27&lt;&gt;"",E27="",COUNTIFS(Accounts!$A$5:$A$50,D27,Accounts!$D$5:$D$50,"Asset")=1),AND(D27="",E27&lt;&gt;"",COUNTIFS(Accounts!$A$5:$A$50,E27,Accounts!$D$5:$D$50,"Asset")=1))),AND(B27="Adjustment",F27="",OR(AND(D27&lt;&gt;"",E27="",COUNTIF(Accounts!$A$5:$A$50,D27)=1),AND(D27="",E27&lt;&gt;"",COUNTIF(Accounts!$A$5:$A$50,E27)=1)))),"OK","CHECK: Type / account / category combination")))</f>
        <v/>
      </c>
    </row>
    <row r="28" spans="1:9">
      <c r="A28" s="56"/>
      <c r="C28" s="57"/>
      <c r="I28" s="13" t="str">
        <f>IF(COUNTA(A28:H28)=0,"",IF(OR(A28="",B28="",C28="",C28&lt;=0),"CHECK: Date, Type and positive Amount required",IF(OR(AND(B28="Income",D28="",E28&lt;&gt;"",F28&lt;&gt;"",COUNTIFS(Accounts!$A$5:$A$50,E28,Accounts!$D$5:$D$50,"Asset")=1,COUNTIFS(Categories!$A$5:$A$100,F28,Categories!$C$5:$C$100,"Income")=1),AND(B28="Expense",D28&lt;&gt;"",E28="",F28&lt;&gt;"",COUNTIF(Accounts!$A$5:$A$50,D28)=1,COUNTIFS(Categories!$A$5:$A$100,F28,Categories!$C$5:$C$100,"Expense")=1),AND(B28="Refund",D28="",E28&lt;&gt;"",F28&lt;&gt;"",COUNTIF(Accounts!$A$5:$A$50,E28)=1,COUNTIFS(Categories!$A$5:$A$100,F28,Categories!$C$5:$C$100,"Expense")=1),AND(B28="Transfer",D28&lt;&gt;"",E28&lt;&gt;"",D28&lt;&gt;E28,F28="",COUNTIF(Accounts!$A$5:$A$50,D28)=1,COUNTIF(Accounts!$A$5:$A$50,E28)=1),AND(B28="Allocation",F28="Savings &amp; Investment",OR(AND(D28&lt;&gt;"",E28="",COUNTIFS(Accounts!$A$5:$A$50,D28,Accounts!$D$5:$D$50,"Asset")=1),AND(D28="",E28&lt;&gt;"",COUNTIFS(Accounts!$A$5:$A$50,E28,Accounts!$D$5:$D$50,"Asset")=1))),AND(B28="Adjustment",F28="",OR(AND(D28&lt;&gt;"",E28="",COUNTIF(Accounts!$A$5:$A$50,D28)=1),AND(D28="",E28&lt;&gt;"",COUNTIF(Accounts!$A$5:$A$50,E28)=1)))),"OK","CHECK: Type / account / category combination")))</f>
        <v/>
      </c>
    </row>
    <row r="29" spans="1:9">
      <c r="A29" s="56"/>
      <c r="C29" s="57"/>
      <c r="I29" s="13" t="str">
        <f>IF(COUNTA(A29:H29)=0,"",IF(OR(A29="",B29="",C29="",C29&lt;=0),"CHECK: Date, Type and positive Amount required",IF(OR(AND(B29="Income",D29="",E29&lt;&gt;"",F29&lt;&gt;"",COUNTIFS(Accounts!$A$5:$A$50,E29,Accounts!$D$5:$D$50,"Asset")=1,COUNTIFS(Categories!$A$5:$A$100,F29,Categories!$C$5:$C$100,"Income")=1),AND(B29="Expense",D29&lt;&gt;"",E29="",F29&lt;&gt;"",COUNTIF(Accounts!$A$5:$A$50,D29)=1,COUNTIFS(Categories!$A$5:$A$100,F29,Categories!$C$5:$C$100,"Expense")=1),AND(B29="Refund",D29="",E29&lt;&gt;"",F29&lt;&gt;"",COUNTIF(Accounts!$A$5:$A$50,E29)=1,COUNTIFS(Categories!$A$5:$A$100,F29,Categories!$C$5:$C$100,"Expense")=1),AND(B29="Transfer",D29&lt;&gt;"",E29&lt;&gt;"",D29&lt;&gt;E29,F29="",COUNTIF(Accounts!$A$5:$A$50,D29)=1,COUNTIF(Accounts!$A$5:$A$50,E29)=1),AND(B29="Allocation",F29="Savings &amp; Investment",OR(AND(D29&lt;&gt;"",E29="",COUNTIFS(Accounts!$A$5:$A$50,D29,Accounts!$D$5:$D$50,"Asset")=1),AND(D29="",E29&lt;&gt;"",COUNTIFS(Accounts!$A$5:$A$50,E29,Accounts!$D$5:$D$50,"Asset")=1))),AND(B29="Adjustment",F29="",OR(AND(D29&lt;&gt;"",E29="",COUNTIF(Accounts!$A$5:$A$50,D29)=1),AND(D29="",E29&lt;&gt;"",COUNTIF(Accounts!$A$5:$A$50,E29)=1)))),"OK","CHECK: Type / account / category combination")))</f>
        <v/>
      </c>
    </row>
    <row r="30" spans="1:9">
      <c r="A30" s="56"/>
      <c r="C30" s="57"/>
      <c r="I30" s="13" t="str">
        <f>IF(COUNTA(A30:H30)=0,"",IF(OR(A30="",B30="",C30="",C30&lt;=0),"CHECK: Date, Type and positive Amount required",IF(OR(AND(B30="Income",D30="",E30&lt;&gt;"",F30&lt;&gt;"",COUNTIFS(Accounts!$A$5:$A$50,E30,Accounts!$D$5:$D$50,"Asset")=1,COUNTIFS(Categories!$A$5:$A$100,F30,Categories!$C$5:$C$100,"Income")=1),AND(B30="Expense",D30&lt;&gt;"",E30="",F30&lt;&gt;"",COUNTIF(Accounts!$A$5:$A$50,D30)=1,COUNTIFS(Categories!$A$5:$A$100,F30,Categories!$C$5:$C$100,"Expense")=1),AND(B30="Refund",D30="",E30&lt;&gt;"",F30&lt;&gt;"",COUNTIF(Accounts!$A$5:$A$50,E30)=1,COUNTIFS(Categories!$A$5:$A$100,F30,Categories!$C$5:$C$100,"Expense")=1),AND(B30="Transfer",D30&lt;&gt;"",E30&lt;&gt;"",D30&lt;&gt;E30,F30="",COUNTIF(Accounts!$A$5:$A$50,D30)=1,COUNTIF(Accounts!$A$5:$A$50,E30)=1),AND(B30="Allocation",F30="Savings &amp; Investment",OR(AND(D30&lt;&gt;"",E30="",COUNTIFS(Accounts!$A$5:$A$50,D30,Accounts!$D$5:$D$50,"Asset")=1),AND(D30="",E30&lt;&gt;"",COUNTIFS(Accounts!$A$5:$A$50,E30,Accounts!$D$5:$D$50,"Asset")=1))),AND(B30="Adjustment",F30="",OR(AND(D30&lt;&gt;"",E30="",COUNTIF(Accounts!$A$5:$A$50,D30)=1),AND(D30="",E30&lt;&gt;"",COUNTIF(Accounts!$A$5:$A$50,E30)=1)))),"OK","CHECK: Type / account / category combination")))</f>
        <v/>
      </c>
    </row>
    <row r="31" spans="1:9">
      <c r="A31" s="56"/>
      <c r="C31" s="57"/>
      <c r="I31" s="13" t="str">
        <f>IF(COUNTA(A31:H31)=0,"",IF(OR(A31="",B31="",C31="",C31&lt;=0),"CHECK: Date, Type and positive Amount required",IF(OR(AND(B31="Income",D31="",E31&lt;&gt;"",F31&lt;&gt;"",COUNTIFS(Accounts!$A$5:$A$50,E31,Accounts!$D$5:$D$50,"Asset")=1,COUNTIFS(Categories!$A$5:$A$100,F31,Categories!$C$5:$C$100,"Income")=1),AND(B31="Expense",D31&lt;&gt;"",E31="",F31&lt;&gt;"",COUNTIF(Accounts!$A$5:$A$50,D31)=1,COUNTIFS(Categories!$A$5:$A$100,F31,Categories!$C$5:$C$100,"Expense")=1),AND(B31="Refund",D31="",E31&lt;&gt;"",F31&lt;&gt;"",COUNTIF(Accounts!$A$5:$A$50,E31)=1,COUNTIFS(Categories!$A$5:$A$100,F31,Categories!$C$5:$C$100,"Expense")=1),AND(B31="Transfer",D31&lt;&gt;"",E31&lt;&gt;"",D31&lt;&gt;E31,F31="",COUNTIF(Accounts!$A$5:$A$50,D31)=1,COUNTIF(Accounts!$A$5:$A$50,E31)=1),AND(B31="Allocation",F31="Savings &amp; Investment",OR(AND(D31&lt;&gt;"",E31="",COUNTIFS(Accounts!$A$5:$A$50,D31,Accounts!$D$5:$D$50,"Asset")=1),AND(D31="",E31&lt;&gt;"",COUNTIFS(Accounts!$A$5:$A$50,E31,Accounts!$D$5:$D$50,"Asset")=1))),AND(B31="Adjustment",F31="",OR(AND(D31&lt;&gt;"",E31="",COUNTIF(Accounts!$A$5:$A$50,D31)=1),AND(D31="",E31&lt;&gt;"",COUNTIF(Accounts!$A$5:$A$50,E31)=1)))),"OK","CHECK: Type / account / category combination")))</f>
        <v/>
      </c>
    </row>
    <row r="32" spans="1:9">
      <c r="A32" s="56"/>
      <c r="C32" s="57"/>
      <c r="I32" s="13" t="str">
        <f>IF(COUNTA(A32:H32)=0,"",IF(OR(A32="",B32="",C32="",C32&lt;=0),"CHECK: Date, Type and positive Amount required",IF(OR(AND(B32="Income",D32="",E32&lt;&gt;"",F32&lt;&gt;"",COUNTIFS(Accounts!$A$5:$A$50,E32,Accounts!$D$5:$D$50,"Asset")=1,COUNTIFS(Categories!$A$5:$A$100,F32,Categories!$C$5:$C$100,"Income")=1),AND(B32="Expense",D32&lt;&gt;"",E32="",F32&lt;&gt;"",COUNTIF(Accounts!$A$5:$A$50,D32)=1,COUNTIFS(Categories!$A$5:$A$100,F32,Categories!$C$5:$C$100,"Expense")=1),AND(B32="Refund",D32="",E32&lt;&gt;"",F32&lt;&gt;"",COUNTIF(Accounts!$A$5:$A$50,E32)=1,COUNTIFS(Categories!$A$5:$A$100,F32,Categories!$C$5:$C$100,"Expense")=1),AND(B32="Transfer",D32&lt;&gt;"",E32&lt;&gt;"",D32&lt;&gt;E32,F32="",COUNTIF(Accounts!$A$5:$A$50,D32)=1,COUNTIF(Accounts!$A$5:$A$50,E32)=1),AND(B32="Allocation",F32="Savings &amp; Investment",OR(AND(D32&lt;&gt;"",E32="",COUNTIFS(Accounts!$A$5:$A$50,D32,Accounts!$D$5:$D$50,"Asset")=1),AND(D32="",E32&lt;&gt;"",COUNTIFS(Accounts!$A$5:$A$50,E32,Accounts!$D$5:$D$50,"Asset")=1))),AND(B32="Adjustment",F32="",OR(AND(D32&lt;&gt;"",E32="",COUNTIF(Accounts!$A$5:$A$50,D32)=1),AND(D32="",E32&lt;&gt;"",COUNTIF(Accounts!$A$5:$A$50,E32)=1)))),"OK","CHECK: Type / account / category combination")))</f>
        <v/>
      </c>
    </row>
    <row r="33" spans="1:9">
      <c r="A33" s="56"/>
      <c r="C33" s="57"/>
      <c r="I33" s="13" t="str">
        <f>IF(COUNTA(A33:H33)=0,"",IF(OR(A33="",B33="",C33="",C33&lt;=0),"CHECK: Date, Type and positive Amount required",IF(OR(AND(B33="Income",D33="",E33&lt;&gt;"",F33&lt;&gt;"",COUNTIFS(Accounts!$A$5:$A$50,E33,Accounts!$D$5:$D$50,"Asset")=1,COUNTIFS(Categories!$A$5:$A$100,F33,Categories!$C$5:$C$100,"Income")=1),AND(B33="Expense",D33&lt;&gt;"",E33="",F33&lt;&gt;"",COUNTIF(Accounts!$A$5:$A$50,D33)=1,COUNTIFS(Categories!$A$5:$A$100,F33,Categories!$C$5:$C$100,"Expense")=1),AND(B33="Refund",D33="",E33&lt;&gt;"",F33&lt;&gt;"",COUNTIF(Accounts!$A$5:$A$50,E33)=1,COUNTIFS(Categories!$A$5:$A$100,F33,Categories!$C$5:$C$100,"Expense")=1),AND(B33="Transfer",D33&lt;&gt;"",E33&lt;&gt;"",D33&lt;&gt;E33,F33="",COUNTIF(Accounts!$A$5:$A$50,D33)=1,COUNTIF(Accounts!$A$5:$A$50,E33)=1),AND(B33="Allocation",F33="Savings &amp; Investment",OR(AND(D33&lt;&gt;"",E33="",COUNTIFS(Accounts!$A$5:$A$50,D33,Accounts!$D$5:$D$50,"Asset")=1),AND(D33="",E33&lt;&gt;"",COUNTIFS(Accounts!$A$5:$A$50,E33,Accounts!$D$5:$D$50,"Asset")=1))),AND(B33="Adjustment",F33="",OR(AND(D33&lt;&gt;"",E33="",COUNTIF(Accounts!$A$5:$A$50,D33)=1),AND(D33="",E33&lt;&gt;"",COUNTIF(Accounts!$A$5:$A$50,E33)=1)))),"OK","CHECK: Type / account / category combination")))</f>
        <v/>
      </c>
    </row>
    <row r="34" spans="1:9">
      <c r="A34" s="56"/>
      <c r="C34" s="57"/>
      <c r="I34" s="13" t="str">
        <f>IF(COUNTA(A34:H34)=0,"",IF(OR(A34="",B34="",C34="",C34&lt;=0),"CHECK: Date, Type and positive Amount required",IF(OR(AND(B34="Income",D34="",E34&lt;&gt;"",F34&lt;&gt;"",COUNTIFS(Accounts!$A$5:$A$50,E34,Accounts!$D$5:$D$50,"Asset")=1,COUNTIFS(Categories!$A$5:$A$100,F34,Categories!$C$5:$C$100,"Income")=1),AND(B34="Expense",D34&lt;&gt;"",E34="",F34&lt;&gt;"",COUNTIF(Accounts!$A$5:$A$50,D34)=1,COUNTIFS(Categories!$A$5:$A$100,F34,Categories!$C$5:$C$100,"Expense")=1),AND(B34="Refund",D34="",E34&lt;&gt;"",F34&lt;&gt;"",COUNTIF(Accounts!$A$5:$A$50,E34)=1,COUNTIFS(Categories!$A$5:$A$100,F34,Categories!$C$5:$C$100,"Expense")=1),AND(B34="Transfer",D34&lt;&gt;"",E34&lt;&gt;"",D34&lt;&gt;E34,F34="",COUNTIF(Accounts!$A$5:$A$50,D34)=1,COUNTIF(Accounts!$A$5:$A$50,E34)=1),AND(B34="Allocation",F34="Savings &amp; Investment",OR(AND(D34&lt;&gt;"",E34="",COUNTIFS(Accounts!$A$5:$A$50,D34,Accounts!$D$5:$D$50,"Asset")=1),AND(D34="",E34&lt;&gt;"",COUNTIFS(Accounts!$A$5:$A$50,E34,Accounts!$D$5:$D$50,"Asset")=1))),AND(B34="Adjustment",F34="",OR(AND(D34&lt;&gt;"",E34="",COUNTIF(Accounts!$A$5:$A$50,D34)=1),AND(D34="",E34&lt;&gt;"",COUNTIF(Accounts!$A$5:$A$50,E34)=1)))),"OK","CHECK: Type / account / category combination")))</f>
        <v/>
      </c>
    </row>
    <row r="35" spans="1:9">
      <c r="A35" s="56"/>
      <c r="C35" s="57"/>
      <c r="I35" s="13" t="str">
        <f>IF(COUNTA(A35:H35)=0,"",IF(OR(A35="",B35="",C35="",C35&lt;=0),"CHECK: Date, Type and positive Amount required",IF(OR(AND(B35="Income",D35="",E35&lt;&gt;"",F35&lt;&gt;"",COUNTIFS(Accounts!$A$5:$A$50,E35,Accounts!$D$5:$D$50,"Asset")=1,COUNTIFS(Categories!$A$5:$A$100,F35,Categories!$C$5:$C$100,"Income")=1),AND(B35="Expense",D35&lt;&gt;"",E35="",F35&lt;&gt;"",COUNTIF(Accounts!$A$5:$A$50,D35)=1,COUNTIFS(Categories!$A$5:$A$100,F35,Categories!$C$5:$C$100,"Expense")=1),AND(B35="Refund",D35="",E35&lt;&gt;"",F35&lt;&gt;"",COUNTIF(Accounts!$A$5:$A$50,E35)=1,COUNTIFS(Categories!$A$5:$A$100,F35,Categories!$C$5:$C$100,"Expense")=1),AND(B35="Transfer",D35&lt;&gt;"",E35&lt;&gt;"",D35&lt;&gt;E35,F35="",COUNTIF(Accounts!$A$5:$A$50,D35)=1,COUNTIF(Accounts!$A$5:$A$50,E35)=1),AND(B35="Allocation",F35="Savings &amp; Investment",OR(AND(D35&lt;&gt;"",E35="",COUNTIFS(Accounts!$A$5:$A$50,D35,Accounts!$D$5:$D$50,"Asset")=1),AND(D35="",E35&lt;&gt;"",COUNTIFS(Accounts!$A$5:$A$50,E35,Accounts!$D$5:$D$50,"Asset")=1))),AND(B35="Adjustment",F35="",OR(AND(D35&lt;&gt;"",E35="",COUNTIF(Accounts!$A$5:$A$50,D35)=1),AND(D35="",E35&lt;&gt;"",COUNTIF(Accounts!$A$5:$A$50,E35)=1)))),"OK","CHECK: Type / account / category combination")))</f>
        <v/>
      </c>
    </row>
    <row r="36" spans="1:9">
      <c r="A36" s="56"/>
      <c r="C36" s="57"/>
      <c r="I36" s="13" t="str">
        <f>IF(COUNTA(A36:H36)=0,"",IF(OR(A36="",B36="",C36="",C36&lt;=0),"CHECK: Date, Type and positive Amount required",IF(OR(AND(B36="Income",D36="",E36&lt;&gt;"",F36&lt;&gt;"",COUNTIFS(Accounts!$A$5:$A$50,E36,Accounts!$D$5:$D$50,"Asset")=1,COUNTIFS(Categories!$A$5:$A$100,F36,Categories!$C$5:$C$100,"Income")=1),AND(B36="Expense",D36&lt;&gt;"",E36="",F36&lt;&gt;"",COUNTIF(Accounts!$A$5:$A$50,D36)=1,COUNTIFS(Categories!$A$5:$A$100,F36,Categories!$C$5:$C$100,"Expense")=1),AND(B36="Refund",D36="",E36&lt;&gt;"",F36&lt;&gt;"",COUNTIF(Accounts!$A$5:$A$50,E36)=1,COUNTIFS(Categories!$A$5:$A$100,F36,Categories!$C$5:$C$100,"Expense")=1),AND(B36="Transfer",D36&lt;&gt;"",E36&lt;&gt;"",D36&lt;&gt;E36,F36="",COUNTIF(Accounts!$A$5:$A$50,D36)=1,COUNTIF(Accounts!$A$5:$A$50,E36)=1),AND(B36="Allocation",F36="Savings &amp; Investment",OR(AND(D36&lt;&gt;"",E36="",COUNTIFS(Accounts!$A$5:$A$50,D36,Accounts!$D$5:$D$50,"Asset")=1),AND(D36="",E36&lt;&gt;"",COUNTIFS(Accounts!$A$5:$A$50,E36,Accounts!$D$5:$D$50,"Asset")=1))),AND(B36="Adjustment",F36="",OR(AND(D36&lt;&gt;"",E36="",COUNTIF(Accounts!$A$5:$A$50,D36)=1),AND(D36="",E36&lt;&gt;"",COUNTIF(Accounts!$A$5:$A$50,E36)=1)))),"OK","CHECK: Type / account / category combination")))</f>
        <v/>
      </c>
    </row>
    <row r="37" spans="1:9">
      <c r="A37" s="56"/>
      <c r="C37" s="57"/>
      <c r="I37" s="13" t="str">
        <f>IF(COUNTA(A37:H37)=0,"",IF(OR(A37="",B37="",C37="",C37&lt;=0),"CHECK: Date, Type and positive Amount required",IF(OR(AND(B37="Income",D37="",E37&lt;&gt;"",F37&lt;&gt;"",COUNTIFS(Accounts!$A$5:$A$50,E37,Accounts!$D$5:$D$50,"Asset")=1,COUNTIFS(Categories!$A$5:$A$100,F37,Categories!$C$5:$C$100,"Income")=1),AND(B37="Expense",D37&lt;&gt;"",E37="",F37&lt;&gt;"",COUNTIF(Accounts!$A$5:$A$50,D37)=1,COUNTIFS(Categories!$A$5:$A$100,F37,Categories!$C$5:$C$100,"Expense")=1),AND(B37="Refund",D37="",E37&lt;&gt;"",F37&lt;&gt;"",COUNTIF(Accounts!$A$5:$A$50,E37)=1,COUNTIFS(Categories!$A$5:$A$100,F37,Categories!$C$5:$C$100,"Expense")=1),AND(B37="Transfer",D37&lt;&gt;"",E37&lt;&gt;"",D37&lt;&gt;E37,F37="",COUNTIF(Accounts!$A$5:$A$50,D37)=1,COUNTIF(Accounts!$A$5:$A$50,E37)=1),AND(B37="Allocation",F37="Savings &amp; Investment",OR(AND(D37&lt;&gt;"",E37="",COUNTIFS(Accounts!$A$5:$A$50,D37,Accounts!$D$5:$D$50,"Asset")=1),AND(D37="",E37&lt;&gt;"",COUNTIFS(Accounts!$A$5:$A$50,E37,Accounts!$D$5:$D$50,"Asset")=1))),AND(B37="Adjustment",F37="",OR(AND(D37&lt;&gt;"",E37="",COUNTIF(Accounts!$A$5:$A$50,D37)=1),AND(D37="",E37&lt;&gt;"",COUNTIF(Accounts!$A$5:$A$50,E37)=1)))),"OK","CHECK: Type / account / category combination")))</f>
        <v/>
      </c>
    </row>
    <row r="38" spans="1:9">
      <c r="A38" s="56"/>
      <c r="C38" s="57"/>
      <c r="I38" s="13" t="str">
        <f>IF(COUNTA(A38:H38)=0,"",IF(OR(A38="",B38="",C38="",C38&lt;=0),"CHECK: Date, Type and positive Amount required",IF(OR(AND(B38="Income",D38="",E38&lt;&gt;"",F38&lt;&gt;"",COUNTIFS(Accounts!$A$5:$A$50,E38,Accounts!$D$5:$D$50,"Asset")=1,COUNTIFS(Categories!$A$5:$A$100,F38,Categories!$C$5:$C$100,"Income")=1),AND(B38="Expense",D38&lt;&gt;"",E38="",F38&lt;&gt;"",COUNTIF(Accounts!$A$5:$A$50,D38)=1,COUNTIFS(Categories!$A$5:$A$100,F38,Categories!$C$5:$C$100,"Expense")=1),AND(B38="Refund",D38="",E38&lt;&gt;"",F38&lt;&gt;"",COUNTIF(Accounts!$A$5:$A$50,E38)=1,COUNTIFS(Categories!$A$5:$A$100,F38,Categories!$C$5:$C$100,"Expense")=1),AND(B38="Transfer",D38&lt;&gt;"",E38&lt;&gt;"",D38&lt;&gt;E38,F38="",COUNTIF(Accounts!$A$5:$A$50,D38)=1,COUNTIF(Accounts!$A$5:$A$50,E38)=1),AND(B38="Allocation",F38="Savings &amp; Investment",OR(AND(D38&lt;&gt;"",E38="",COUNTIFS(Accounts!$A$5:$A$50,D38,Accounts!$D$5:$D$50,"Asset")=1),AND(D38="",E38&lt;&gt;"",COUNTIFS(Accounts!$A$5:$A$50,E38,Accounts!$D$5:$D$50,"Asset")=1))),AND(B38="Adjustment",F38="",OR(AND(D38&lt;&gt;"",E38="",COUNTIF(Accounts!$A$5:$A$50,D38)=1),AND(D38="",E38&lt;&gt;"",COUNTIF(Accounts!$A$5:$A$50,E38)=1)))),"OK","CHECK: Type / account / category combination")))</f>
        <v/>
      </c>
    </row>
    <row r="39" spans="1:9">
      <c r="A39" s="56"/>
      <c r="C39" s="57"/>
      <c r="I39" s="13" t="str">
        <f>IF(COUNTA(A39:H39)=0,"",IF(OR(A39="",B39="",C39="",C39&lt;=0),"CHECK: Date, Type and positive Amount required",IF(OR(AND(B39="Income",D39="",E39&lt;&gt;"",F39&lt;&gt;"",COUNTIFS(Accounts!$A$5:$A$50,E39,Accounts!$D$5:$D$50,"Asset")=1,COUNTIFS(Categories!$A$5:$A$100,F39,Categories!$C$5:$C$100,"Income")=1),AND(B39="Expense",D39&lt;&gt;"",E39="",F39&lt;&gt;"",COUNTIF(Accounts!$A$5:$A$50,D39)=1,COUNTIFS(Categories!$A$5:$A$100,F39,Categories!$C$5:$C$100,"Expense")=1),AND(B39="Refund",D39="",E39&lt;&gt;"",F39&lt;&gt;"",COUNTIF(Accounts!$A$5:$A$50,E39)=1,COUNTIFS(Categories!$A$5:$A$100,F39,Categories!$C$5:$C$100,"Expense")=1),AND(B39="Transfer",D39&lt;&gt;"",E39&lt;&gt;"",D39&lt;&gt;E39,F39="",COUNTIF(Accounts!$A$5:$A$50,D39)=1,COUNTIF(Accounts!$A$5:$A$50,E39)=1),AND(B39="Allocation",F39="Savings &amp; Investment",OR(AND(D39&lt;&gt;"",E39="",COUNTIFS(Accounts!$A$5:$A$50,D39,Accounts!$D$5:$D$50,"Asset")=1),AND(D39="",E39&lt;&gt;"",COUNTIFS(Accounts!$A$5:$A$50,E39,Accounts!$D$5:$D$50,"Asset")=1))),AND(B39="Adjustment",F39="",OR(AND(D39&lt;&gt;"",E39="",COUNTIF(Accounts!$A$5:$A$50,D39)=1),AND(D39="",E39&lt;&gt;"",COUNTIF(Accounts!$A$5:$A$50,E39)=1)))),"OK","CHECK: Type / account / category combination")))</f>
        <v/>
      </c>
    </row>
    <row r="40" spans="1:9">
      <c r="A40" s="56"/>
      <c r="C40" s="57"/>
      <c r="I40" s="13" t="str">
        <f>IF(COUNTA(A40:H40)=0,"",IF(OR(A40="",B40="",C40="",C40&lt;=0),"CHECK: Date, Type and positive Amount required",IF(OR(AND(B40="Income",D40="",E40&lt;&gt;"",F40&lt;&gt;"",COUNTIFS(Accounts!$A$5:$A$50,E40,Accounts!$D$5:$D$50,"Asset")=1,COUNTIFS(Categories!$A$5:$A$100,F40,Categories!$C$5:$C$100,"Income")=1),AND(B40="Expense",D40&lt;&gt;"",E40="",F40&lt;&gt;"",COUNTIF(Accounts!$A$5:$A$50,D40)=1,COUNTIFS(Categories!$A$5:$A$100,F40,Categories!$C$5:$C$100,"Expense")=1),AND(B40="Refund",D40="",E40&lt;&gt;"",F40&lt;&gt;"",COUNTIF(Accounts!$A$5:$A$50,E40)=1,COUNTIFS(Categories!$A$5:$A$100,F40,Categories!$C$5:$C$100,"Expense")=1),AND(B40="Transfer",D40&lt;&gt;"",E40&lt;&gt;"",D40&lt;&gt;E40,F40="",COUNTIF(Accounts!$A$5:$A$50,D40)=1,COUNTIF(Accounts!$A$5:$A$50,E40)=1),AND(B40="Allocation",F40="Savings &amp; Investment",OR(AND(D40&lt;&gt;"",E40="",COUNTIFS(Accounts!$A$5:$A$50,D40,Accounts!$D$5:$D$50,"Asset")=1),AND(D40="",E40&lt;&gt;"",COUNTIFS(Accounts!$A$5:$A$50,E40,Accounts!$D$5:$D$50,"Asset")=1))),AND(B40="Adjustment",F40="",OR(AND(D40&lt;&gt;"",E40="",COUNTIF(Accounts!$A$5:$A$50,D40)=1),AND(D40="",E40&lt;&gt;"",COUNTIF(Accounts!$A$5:$A$50,E40)=1)))),"OK","CHECK: Type / account / category combination")))</f>
        <v/>
      </c>
    </row>
    <row r="41" spans="1:9">
      <c r="A41" s="56"/>
      <c r="C41" s="57"/>
      <c r="I41" s="13" t="str">
        <f>IF(COUNTA(A41:H41)=0,"",IF(OR(A41="",B41="",C41="",C41&lt;=0),"CHECK: Date, Type and positive Amount required",IF(OR(AND(B41="Income",D41="",E41&lt;&gt;"",F41&lt;&gt;"",COUNTIFS(Accounts!$A$5:$A$50,E41,Accounts!$D$5:$D$50,"Asset")=1,COUNTIFS(Categories!$A$5:$A$100,F41,Categories!$C$5:$C$100,"Income")=1),AND(B41="Expense",D41&lt;&gt;"",E41="",F41&lt;&gt;"",COUNTIF(Accounts!$A$5:$A$50,D41)=1,COUNTIFS(Categories!$A$5:$A$100,F41,Categories!$C$5:$C$100,"Expense")=1),AND(B41="Refund",D41="",E41&lt;&gt;"",F41&lt;&gt;"",COUNTIF(Accounts!$A$5:$A$50,E41)=1,COUNTIFS(Categories!$A$5:$A$100,F41,Categories!$C$5:$C$100,"Expense")=1),AND(B41="Transfer",D41&lt;&gt;"",E41&lt;&gt;"",D41&lt;&gt;E41,F41="",COUNTIF(Accounts!$A$5:$A$50,D41)=1,COUNTIF(Accounts!$A$5:$A$50,E41)=1),AND(B41="Allocation",F41="Savings &amp; Investment",OR(AND(D41&lt;&gt;"",E41="",COUNTIFS(Accounts!$A$5:$A$50,D41,Accounts!$D$5:$D$50,"Asset")=1),AND(D41="",E41&lt;&gt;"",COUNTIFS(Accounts!$A$5:$A$50,E41,Accounts!$D$5:$D$50,"Asset")=1))),AND(B41="Adjustment",F41="",OR(AND(D41&lt;&gt;"",E41="",COUNTIF(Accounts!$A$5:$A$50,D41)=1),AND(D41="",E41&lt;&gt;"",COUNTIF(Accounts!$A$5:$A$50,E41)=1)))),"OK","CHECK: Type / account / category combination")))</f>
        <v/>
      </c>
    </row>
    <row r="42" spans="1:9">
      <c r="A42" s="56"/>
      <c r="C42" s="57"/>
      <c r="I42" s="13" t="str">
        <f>IF(COUNTA(A42:H42)=0,"",IF(OR(A42="",B42="",C42="",C42&lt;=0),"CHECK: Date, Type and positive Amount required",IF(OR(AND(B42="Income",D42="",E42&lt;&gt;"",F42&lt;&gt;"",COUNTIFS(Accounts!$A$5:$A$50,E42,Accounts!$D$5:$D$50,"Asset")=1,COUNTIFS(Categories!$A$5:$A$100,F42,Categories!$C$5:$C$100,"Income")=1),AND(B42="Expense",D42&lt;&gt;"",E42="",F42&lt;&gt;"",COUNTIF(Accounts!$A$5:$A$50,D42)=1,COUNTIFS(Categories!$A$5:$A$100,F42,Categories!$C$5:$C$100,"Expense")=1),AND(B42="Refund",D42="",E42&lt;&gt;"",F42&lt;&gt;"",COUNTIF(Accounts!$A$5:$A$50,E42)=1,COUNTIFS(Categories!$A$5:$A$100,F42,Categories!$C$5:$C$100,"Expense")=1),AND(B42="Transfer",D42&lt;&gt;"",E42&lt;&gt;"",D42&lt;&gt;E42,F42="",COUNTIF(Accounts!$A$5:$A$50,D42)=1,COUNTIF(Accounts!$A$5:$A$50,E42)=1),AND(B42="Allocation",F42="Savings &amp; Investment",OR(AND(D42&lt;&gt;"",E42="",COUNTIFS(Accounts!$A$5:$A$50,D42,Accounts!$D$5:$D$50,"Asset")=1),AND(D42="",E42&lt;&gt;"",COUNTIFS(Accounts!$A$5:$A$50,E42,Accounts!$D$5:$D$50,"Asset")=1))),AND(B42="Adjustment",F42="",OR(AND(D42&lt;&gt;"",E42="",COUNTIF(Accounts!$A$5:$A$50,D42)=1),AND(D42="",E42&lt;&gt;"",COUNTIF(Accounts!$A$5:$A$50,E42)=1)))),"OK","CHECK: Type / account / category combination")))</f>
        <v/>
      </c>
    </row>
    <row r="43" spans="1:9">
      <c r="A43" s="56"/>
      <c r="C43" s="57"/>
      <c r="I43" s="13" t="str">
        <f>IF(COUNTA(A43:H43)=0,"",IF(OR(A43="",B43="",C43="",C43&lt;=0),"CHECK: Date, Type and positive Amount required",IF(OR(AND(B43="Income",D43="",E43&lt;&gt;"",F43&lt;&gt;"",COUNTIFS(Accounts!$A$5:$A$50,E43,Accounts!$D$5:$D$50,"Asset")=1,COUNTIFS(Categories!$A$5:$A$100,F43,Categories!$C$5:$C$100,"Income")=1),AND(B43="Expense",D43&lt;&gt;"",E43="",F43&lt;&gt;"",COUNTIF(Accounts!$A$5:$A$50,D43)=1,COUNTIFS(Categories!$A$5:$A$100,F43,Categories!$C$5:$C$100,"Expense")=1),AND(B43="Refund",D43="",E43&lt;&gt;"",F43&lt;&gt;"",COUNTIF(Accounts!$A$5:$A$50,E43)=1,COUNTIFS(Categories!$A$5:$A$100,F43,Categories!$C$5:$C$100,"Expense")=1),AND(B43="Transfer",D43&lt;&gt;"",E43&lt;&gt;"",D43&lt;&gt;E43,F43="",COUNTIF(Accounts!$A$5:$A$50,D43)=1,COUNTIF(Accounts!$A$5:$A$50,E43)=1),AND(B43="Allocation",F43="Savings &amp; Investment",OR(AND(D43&lt;&gt;"",E43="",COUNTIFS(Accounts!$A$5:$A$50,D43,Accounts!$D$5:$D$50,"Asset")=1),AND(D43="",E43&lt;&gt;"",COUNTIFS(Accounts!$A$5:$A$50,E43,Accounts!$D$5:$D$50,"Asset")=1))),AND(B43="Adjustment",F43="",OR(AND(D43&lt;&gt;"",E43="",COUNTIF(Accounts!$A$5:$A$50,D43)=1),AND(D43="",E43&lt;&gt;"",COUNTIF(Accounts!$A$5:$A$50,E43)=1)))),"OK","CHECK: Type / account / category combination")))</f>
        <v/>
      </c>
    </row>
    <row r="44" spans="1:9">
      <c r="A44" s="56"/>
      <c r="C44" s="57"/>
      <c r="I44" s="13" t="str">
        <f>IF(COUNTA(A44:H44)=0,"",IF(OR(A44="",B44="",C44="",C44&lt;=0),"CHECK: Date, Type and positive Amount required",IF(OR(AND(B44="Income",D44="",E44&lt;&gt;"",F44&lt;&gt;"",COUNTIFS(Accounts!$A$5:$A$50,E44,Accounts!$D$5:$D$50,"Asset")=1,COUNTIFS(Categories!$A$5:$A$100,F44,Categories!$C$5:$C$100,"Income")=1),AND(B44="Expense",D44&lt;&gt;"",E44="",F44&lt;&gt;"",COUNTIF(Accounts!$A$5:$A$50,D44)=1,COUNTIFS(Categories!$A$5:$A$100,F44,Categories!$C$5:$C$100,"Expense")=1),AND(B44="Refund",D44="",E44&lt;&gt;"",F44&lt;&gt;"",COUNTIF(Accounts!$A$5:$A$50,E44)=1,COUNTIFS(Categories!$A$5:$A$100,F44,Categories!$C$5:$C$100,"Expense")=1),AND(B44="Transfer",D44&lt;&gt;"",E44&lt;&gt;"",D44&lt;&gt;E44,F44="",COUNTIF(Accounts!$A$5:$A$50,D44)=1,COUNTIF(Accounts!$A$5:$A$50,E44)=1),AND(B44="Allocation",F44="Savings &amp; Investment",OR(AND(D44&lt;&gt;"",E44="",COUNTIFS(Accounts!$A$5:$A$50,D44,Accounts!$D$5:$D$50,"Asset")=1),AND(D44="",E44&lt;&gt;"",COUNTIFS(Accounts!$A$5:$A$50,E44,Accounts!$D$5:$D$50,"Asset")=1))),AND(B44="Adjustment",F44="",OR(AND(D44&lt;&gt;"",E44="",COUNTIF(Accounts!$A$5:$A$50,D44)=1),AND(D44="",E44&lt;&gt;"",COUNTIF(Accounts!$A$5:$A$50,E44)=1)))),"OK","CHECK: Type / account / category combination")))</f>
        <v/>
      </c>
    </row>
    <row r="45" spans="1:9">
      <c r="A45" s="56"/>
      <c r="C45" s="57"/>
      <c r="I45" s="13" t="str">
        <f>IF(COUNTA(A45:H45)=0,"",IF(OR(A45="",B45="",C45="",C45&lt;=0),"CHECK: Date, Type and positive Amount required",IF(OR(AND(B45="Income",D45="",E45&lt;&gt;"",F45&lt;&gt;"",COUNTIFS(Accounts!$A$5:$A$50,E45,Accounts!$D$5:$D$50,"Asset")=1,COUNTIFS(Categories!$A$5:$A$100,F45,Categories!$C$5:$C$100,"Income")=1),AND(B45="Expense",D45&lt;&gt;"",E45="",F45&lt;&gt;"",COUNTIF(Accounts!$A$5:$A$50,D45)=1,COUNTIFS(Categories!$A$5:$A$100,F45,Categories!$C$5:$C$100,"Expense")=1),AND(B45="Refund",D45="",E45&lt;&gt;"",F45&lt;&gt;"",COUNTIF(Accounts!$A$5:$A$50,E45)=1,COUNTIFS(Categories!$A$5:$A$100,F45,Categories!$C$5:$C$100,"Expense")=1),AND(B45="Transfer",D45&lt;&gt;"",E45&lt;&gt;"",D45&lt;&gt;E45,F45="",COUNTIF(Accounts!$A$5:$A$50,D45)=1,COUNTIF(Accounts!$A$5:$A$50,E45)=1),AND(B45="Allocation",F45="Savings &amp; Investment",OR(AND(D45&lt;&gt;"",E45="",COUNTIFS(Accounts!$A$5:$A$50,D45,Accounts!$D$5:$D$50,"Asset")=1),AND(D45="",E45&lt;&gt;"",COUNTIFS(Accounts!$A$5:$A$50,E45,Accounts!$D$5:$D$50,"Asset")=1))),AND(B45="Adjustment",F45="",OR(AND(D45&lt;&gt;"",E45="",COUNTIF(Accounts!$A$5:$A$50,D45)=1),AND(D45="",E45&lt;&gt;"",COUNTIF(Accounts!$A$5:$A$50,E45)=1)))),"OK","CHECK: Type / account / category combination")))</f>
        <v/>
      </c>
    </row>
    <row r="46" spans="1:9">
      <c r="A46" s="56"/>
      <c r="C46" s="57"/>
      <c r="I46" s="13" t="str">
        <f>IF(COUNTA(A46:H46)=0,"",IF(OR(A46="",B46="",C46="",C46&lt;=0),"CHECK: Date, Type and positive Amount required",IF(OR(AND(B46="Income",D46="",E46&lt;&gt;"",F46&lt;&gt;"",COUNTIFS(Accounts!$A$5:$A$50,E46,Accounts!$D$5:$D$50,"Asset")=1,COUNTIFS(Categories!$A$5:$A$100,F46,Categories!$C$5:$C$100,"Income")=1),AND(B46="Expense",D46&lt;&gt;"",E46="",F46&lt;&gt;"",COUNTIF(Accounts!$A$5:$A$50,D46)=1,COUNTIFS(Categories!$A$5:$A$100,F46,Categories!$C$5:$C$100,"Expense")=1),AND(B46="Refund",D46="",E46&lt;&gt;"",F46&lt;&gt;"",COUNTIF(Accounts!$A$5:$A$50,E46)=1,COUNTIFS(Categories!$A$5:$A$100,F46,Categories!$C$5:$C$100,"Expense")=1),AND(B46="Transfer",D46&lt;&gt;"",E46&lt;&gt;"",D46&lt;&gt;E46,F46="",COUNTIF(Accounts!$A$5:$A$50,D46)=1,COUNTIF(Accounts!$A$5:$A$50,E46)=1),AND(B46="Allocation",F46="Savings &amp; Investment",OR(AND(D46&lt;&gt;"",E46="",COUNTIFS(Accounts!$A$5:$A$50,D46,Accounts!$D$5:$D$50,"Asset")=1),AND(D46="",E46&lt;&gt;"",COUNTIFS(Accounts!$A$5:$A$50,E46,Accounts!$D$5:$D$50,"Asset")=1))),AND(B46="Adjustment",F46="",OR(AND(D46&lt;&gt;"",E46="",COUNTIF(Accounts!$A$5:$A$50,D46)=1),AND(D46="",E46&lt;&gt;"",COUNTIF(Accounts!$A$5:$A$50,E46)=1)))),"OK","CHECK: Type / account / category combination")))</f>
        <v/>
      </c>
    </row>
    <row r="47" spans="1:9">
      <c r="A47" s="56"/>
      <c r="C47" s="57"/>
      <c r="I47" s="13" t="str">
        <f>IF(COUNTA(A47:H47)=0,"",IF(OR(A47="",B47="",C47="",C47&lt;=0),"CHECK: Date, Type and positive Amount required",IF(OR(AND(B47="Income",D47="",E47&lt;&gt;"",F47&lt;&gt;"",COUNTIFS(Accounts!$A$5:$A$50,E47,Accounts!$D$5:$D$50,"Asset")=1,COUNTIFS(Categories!$A$5:$A$100,F47,Categories!$C$5:$C$100,"Income")=1),AND(B47="Expense",D47&lt;&gt;"",E47="",F47&lt;&gt;"",COUNTIF(Accounts!$A$5:$A$50,D47)=1,COUNTIFS(Categories!$A$5:$A$100,F47,Categories!$C$5:$C$100,"Expense")=1),AND(B47="Refund",D47="",E47&lt;&gt;"",F47&lt;&gt;"",COUNTIF(Accounts!$A$5:$A$50,E47)=1,COUNTIFS(Categories!$A$5:$A$100,F47,Categories!$C$5:$C$100,"Expense")=1),AND(B47="Transfer",D47&lt;&gt;"",E47&lt;&gt;"",D47&lt;&gt;E47,F47="",COUNTIF(Accounts!$A$5:$A$50,D47)=1,COUNTIF(Accounts!$A$5:$A$50,E47)=1),AND(B47="Allocation",F47="Savings &amp; Investment",OR(AND(D47&lt;&gt;"",E47="",COUNTIFS(Accounts!$A$5:$A$50,D47,Accounts!$D$5:$D$50,"Asset")=1),AND(D47="",E47&lt;&gt;"",COUNTIFS(Accounts!$A$5:$A$50,E47,Accounts!$D$5:$D$50,"Asset")=1))),AND(B47="Adjustment",F47="",OR(AND(D47&lt;&gt;"",E47="",COUNTIF(Accounts!$A$5:$A$50,D47)=1),AND(D47="",E47&lt;&gt;"",COUNTIF(Accounts!$A$5:$A$50,E47)=1)))),"OK","CHECK: Type / account / category combination")))</f>
        <v/>
      </c>
    </row>
    <row r="48" spans="1:9">
      <c r="A48" s="56"/>
      <c r="C48" s="57"/>
      <c r="I48" s="13" t="str">
        <f>IF(COUNTA(A48:H48)=0,"",IF(OR(A48="",B48="",C48="",C48&lt;=0),"CHECK: Date, Type and positive Amount required",IF(OR(AND(B48="Income",D48="",E48&lt;&gt;"",F48&lt;&gt;"",COUNTIFS(Accounts!$A$5:$A$50,E48,Accounts!$D$5:$D$50,"Asset")=1,COUNTIFS(Categories!$A$5:$A$100,F48,Categories!$C$5:$C$100,"Income")=1),AND(B48="Expense",D48&lt;&gt;"",E48="",F48&lt;&gt;"",COUNTIF(Accounts!$A$5:$A$50,D48)=1,COUNTIFS(Categories!$A$5:$A$100,F48,Categories!$C$5:$C$100,"Expense")=1),AND(B48="Refund",D48="",E48&lt;&gt;"",F48&lt;&gt;"",COUNTIF(Accounts!$A$5:$A$50,E48)=1,COUNTIFS(Categories!$A$5:$A$100,F48,Categories!$C$5:$C$100,"Expense")=1),AND(B48="Transfer",D48&lt;&gt;"",E48&lt;&gt;"",D48&lt;&gt;E48,F48="",COUNTIF(Accounts!$A$5:$A$50,D48)=1,COUNTIF(Accounts!$A$5:$A$50,E48)=1),AND(B48="Allocation",F48="Savings &amp; Investment",OR(AND(D48&lt;&gt;"",E48="",COUNTIFS(Accounts!$A$5:$A$50,D48,Accounts!$D$5:$D$50,"Asset")=1),AND(D48="",E48&lt;&gt;"",COUNTIFS(Accounts!$A$5:$A$50,E48,Accounts!$D$5:$D$50,"Asset")=1))),AND(B48="Adjustment",F48="",OR(AND(D48&lt;&gt;"",E48="",COUNTIF(Accounts!$A$5:$A$50,D48)=1),AND(D48="",E48&lt;&gt;"",COUNTIF(Accounts!$A$5:$A$50,E48)=1)))),"OK","CHECK: Type / account / category combination")))</f>
        <v/>
      </c>
    </row>
    <row r="49" spans="1:9">
      <c r="A49" s="56"/>
      <c r="C49" s="57"/>
      <c r="I49" s="13" t="str">
        <f>IF(COUNTA(A49:H49)=0,"",IF(OR(A49="",B49="",C49="",C49&lt;=0),"CHECK: Date, Type and positive Amount required",IF(OR(AND(B49="Income",D49="",E49&lt;&gt;"",F49&lt;&gt;"",COUNTIFS(Accounts!$A$5:$A$50,E49,Accounts!$D$5:$D$50,"Asset")=1,COUNTIFS(Categories!$A$5:$A$100,F49,Categories!$C$5:$C$100,"Income")=1),AND(B49="Expense",D49&lt;&gt;"",E49="",F49&lt;&gt;"",COUNTIF(Accounts!$A$5:$A$50,D49)=1,COUNTIFS(Categories!$A$5:$A$100,F49,Categories!$C$5:$C$100,"Expense")=1),AND(B49="Refund",D49="",E49&lt;&gt;"",F49&lt;&gt;"",COUNTIF(Accounts!$A$5:$A$50,E49)=1,COUNTIFS(Categories!$A$5:$A$100,F49,Categories!$C$5:$C$100,"Expense")=1),AND(B49="Transfer",D49&lt;&gt;"",E49&lt;&gt;"",D49&lt;&gt;E49,F49="",COUNTIF(Accounts!$A$5:$A$50,D49)=1,COUNTIF(Accounts!$A$5:$A$50,E49)=1),AND(B49="Allocation",F49="Savings &amp; Investment",OR(AND(D49&lt;&gt;"",E49="",COUNTIFS(Accounts!$A$5:$A$50,D49,Accounts!$D$5:$D$50,"Asset")=1),AND(D49="",E49&lt;&gt;"",COUNTIFS(Accounts!$A$5:$A$50,E49,Accounts!$D$5:$D$50,"Asset")=1))),AND(B49="Adjustment",F49="",OR(AND(D49&lt;&gt;"",E49="",COUNTIF(Accounts!$A$5:$A$50,D49)=1),AND(D49="",E49&lt;&gt;"",COUNTIF(Accounts!$A$5:$A$50,E49)=1)))),"OK","CHECK: Type / account / category combination")))</f>
        <v/>
      </c>
    </row>
    <row r="50" spans="1:9">
      <c r="A50" s="56"/>
      <c r="C50" s="57"/>
      <c r="I50" s="13" t="str">
        <f>IF(COUNTA(A50:H50)=0,"",IF(OR(A50="",B50="",C50="",C50&lt;=0),"CHECK: Date, Type and positive Amount required",IF(OR(AND(B50="Income",D50="",E50&lt;&gt;"",F50&lt;&gt;"",COUNTIFS(Accounts!$A$5:$A$50,E50,Accounts!$D$5:$D$50,"Asset")=1,COUNTIFS(Categories!$A$5:$A$100,F50,Categories!$C$5:$C$100,"Income")=1),AND(B50="Expense",D50&lt;&gt;"",E50="",F50&lt;&gt;"",COUNTIF(Accounts!$A$5:$A$50,D50)=1,COUNTIFS(Categories!$A$5:$A$100,F50,Categories!$C$5:$C$100,"Expense")=1),AND(B50="Refund",D50="",E50&lt;&gt;"",F50&lt;&gt;"",COUNTIF(Accounts!$A$5:$A$50,E50)=1,COUNTIFS(Categories!$A$5:$A$100,F50,Categories!$C$5:$C$100,"Expense")=1),AND(B50="Transfer",D50&lt;&gt;"",E50&lt;&gt;"",D50&lt;&gt;E50,F50="",COUNTIF(Accounts!$A$5:$A$50,D50)=1,COUNTIF(Accounts!$A$5:$A$50,E50)=1),AND(B50="Allocation",F50="Savings &amp; Investment",OR(AND(D50&lt;&gt;"",E50="",COUNTIFS(Accounts!$A$5:$A$50,D50,Accounts!$D$5:$D$50,"Asset")=1),AND(D50="",E50&lt;&gt;"",COUNTIFS(Accounts!$A$5:$A$50,E50,Accounts!$D$5:$D$50,"Asset")=1))),AND(B50="Adjustment",F50="",OR(AND(D50&lt;&gt;"",E50="",COUNTIF(Accounts!$A$5:$A$50,D50)=1),AND(D50="",E50&lt;&gt;"",COUNTIF(Accounts!$A$5:$A$50,E50)=1)))),"OK","CHECK: Type / account / category combination")))</f>
        <v/>
      </c>
    </row>
    <row r="51" spans="1:9">
      <c r="A51" s="56"/>
      <c r="C51" s="57"/>
      <c r="I51" s="13" t="str">
        <f>IF(COUNTA(A51:H51)=0,"",IF(OR(A51="",B51="",C51="",C51&lt;=0),"CHECK: Date, Type and positive Amount required",IF(OR(AND(B51="Income",D51="",E51&lt;&gt;"",F51&lt;&gt;"",COUNTIFS(Accounts!$A$5:$A$50,E51,Accounts!$D$5:$D$50,"Asset")=1,COUNTIFS(Categories!$A$5:$A$100,F51,Categories!$C$5:$C$100,"Income")=1),AND(B51="Expense",D51&lt;&gt;"",E51="",F51&lt;&gt;"",COUNTIF(Accounts!$A$5:$A$50,D51)=1,COUNTIFS(Categories!$A$5:$A$100,F51,Categories!$C$5:$C$100,"Expense")=1),AND(B51="Refund",D51="",E51&lt;&gt;"",F51&lt;&gt;"",COUNTIF(Accounts!$A$5:$A$50,E51)=1,COUNTIFS(Categories!$A$5:$A$100,F51,Categories!$C$5:$C$100,"Expense")=1),AND(B51="Transfer",D51&lt;&gt;"",E51&lt;&gt;"",D51&lt;&gt;E51,F51="",COUNTIF(Accounts!$A$5:$A$50,D51)=1,COUNTIF(Accounts!$A$5:$A$50,E51)=1),AND(B51="Allocation",F51="Savings &amp; Investment",OR(AND(D51&lt;&gt;"",E51="",COUNTIFS(Accounts!$A$5:$A$50,D51,Accounts!$D$5:$D$50,"Asset")=1),AND(D51="",E51&lt;&gt;"",COUNTIFS(Accounts!$A$5:$A$50,E51,Accounts!$D$5:$D$50,"Asset")=1))),AND(B51="Adjustment",F51="",OR(AND(D51&lt;&gt;"",E51="",COUNTIF(Accounts!$A$5:$A$50,D51)=1),AND(D51="",E51&lt;&gt;"",COUNTIF(Accounts!$A$5:$A$50,E51)=1)))),"OK","CHECK: Type / account / category combination")))</f>
        <v/>
      </c>
    </row>
    <row r="52" spans="1:9">
      <c r="A52" s="56"/>
      <c r="C52" s="57"/>
      <c r="I52" s="13" t="str">
        <f>IF(COUNTA(A52:H52)=0,"",IF(OR(A52="",B52="",C52="",C52&lt;=0),"CHECK: Date, Type and positive Amount required",IF(OR(AND(B52="Income",D52="",E52&lt;&gt;"",F52&lt;&gt;"",COUNTIFS(Accounts!$A$5:$A$50,E52,Accounts!$D$5:$D$50,"Asset")=1,COUNTIFS(Categories!$A$5:$A$100,F52,Categories!$C$5:$C$100,"Income")=1),AND(B52="Expense",D52&lt;&gt;"",E52="",F52&lt;&gt;"",COUNTIF(Accounts!$A$5:$A$50,D52)=1,COUNTIFS(Categories!$A$5:$A$100,F52,Categories!$C$5:$C$100,"Expense")=1),AND(B52="Refund",D52="",E52&lt;&gt;"",F52&lt;&gt;"",COUNTIF(Accounts!$A$5:$A$50,E52)=1,COUNTIFS(Categories!$A$5:$A$100,F52,Categories!$C$5:$C$100,"Expense")=1),AND(B52="Transfer",D52&lt;&gt;"",E52&lt;&gt;"",D52&lt;&gt;E52,F52="",COUNTIF(Accounts!$A$5:$A$50,D52)=1,COUNTIF(Accounts!$A$5:$A$50,E52)=1),AND(B52="Allocation",F52="Savings &amp; Investment",OR(AND(D52&lt;&gt;"",E52="",COUNTIFS(Accounts!$A$5:$A$50,D52,Accounts!$D$5:$D$50,"Asset")=1),AND(D52="",E52&lt;&gt;"",COUNTIFS(Accounts!$A$5:$A$50,E52,Accounts!$D$5:$D$50,"Asset")=1))),AND(B52="Adjustment",F52="",OR(AND(D52&lt;&gt;"",E52="",COUNTIF(Accounts!$A$5:$A$50,D52)=1),AND(D52="",E52&lt;&gt;"",COUNTIF(Accounts!$A$5:$A$50,E52)=1)))),"OK","CHECK: Type / account / category combination")))</f>
        <v/>
      </c>
    </row>
    <row r="53" spans="1:9">
      <c r="A53" s="56"/>
      <c r="C53" s="57"/>
      <c r="I53" s="13" t="str">
        <f>IF(COUNTA(A53:H53)=0,"",IF(OR(A53="",B53="",C53="",C53&lt;=0),"CHECK: Date, Type and positive Amount required",IF(OR(AND(B53="Income",D53="",E53&lt;&gt;"",F53&lt;&gt;"",COUNTIFS(Accounts!$A$5:$A$50,E53,Accounts!$D$5:$D$50,"Asset")=1,COUNTIFS(Categories!$A$5:$A$100,F53,Categories!$C$5:$C$100,"Income")=1),AND(B53="Expense",D53&lt;&gt;"",E53="",F53&lt;&gt;"",COUNTIF(Accounts!$A$5:$A$50,D53)=1,COUNTIFS(Categories!$A$5:$A$100,F53,Categories!$C$5:$C$100,"Expense")=1),AND(B53="Refund",D53="",E53&lt;&gt;"",F53&lt;&gt;"",COUNTIF(Accounts!$A$5:$A$50,E53)=1,COUNTIFS(Categories!$A$5:$A$100,F53,Categories!$C$5:$C$100,"Expense")=1),AND(B53="Transfer",D53&lt;&gt;"",E53&lt;&gt;"",D53&lt;&gt;E53,F53="",COUNTIF(Accounts!$A$5:$A$50,D53)=1,COUNTIF(Accounts!$A$5:$A$50,E53)=1),AND(B53="Allocation",F53="Savings &amp; Investment",OR(AND(D53&lt;&gt;"",E53="",COUNTIFS(Accounts!$A$5:$A$50,D53,Accounts!$D$5:$D$50,"Asset")=1),AND(D53="",E53&lt;&gt;"",COUNTIFS(Accounts!$A$5:$A$50,E53,Accounts!$D$5:$D$50,"Asset")=1))),AND(B53="Adjustment",F53="",OR(AND(D53&lt;&gt;"",E53="",COUNTIF(Accounts!$A$5:$A$50,D53)=1),AND(D53="",E53&lt;&gt;"",COUNTIF(Accounts!$A$5:$A$50,E53)=1)))),"OK","CHECK: Type / account / category combination")))</f>
        <v/>
      </c>
    </row>
    <row r="54" spans="1:9">
      <c r="A54" s="56"/>
      <c r="C54" s="57"/>
      <c r="I54" s="13" t="str">
        <f>IF(COUNTA(A54:H54)=0,"",IF(OR(A54="",B54="",C54="",C54&lt;=0),"CHECK: Date, Type and positive Amount required",IF(OR(AND(B54="Income",D54="",E54&lt;&gt;"",F54&lt;&gt;"",COUNTIFS(Accounts!$A$5:$A$50,E54,Accounts!$D$5:$D$50,"Asset")=1,COUNTIFS(Categories!$A$5:$A$100,F54,Categories!$C$5:$C$100,"Income")=1),AND(B54="Expense",D54&lt;&gt;"",E54="",F54&lt;&gt;"",COUNTIF(Accounts!$A$5:$A$50,D54)=1,COUNTIFS(Categories!$A$5:$A$100,F54,Categories!$C$5:$C$100,"Expense")=1),AND(B54="Refund",D54="",E54&lt;&gt;"",F54&lt;&gt;"",COUNTIF(Accounts!$A$5:$A$50,E54)=1,COUNTIFS(Categories!$A$5:$A$100,F54,Categories!$C$5:$C$100,"Expense")=1),AND(B54="Transfer",D54&lt;&gt;"",E54&lt;&gt;"",D54&lt;&gt;E54,F54="",COUNTIF(Accounts!$A$5:$A$50,D54)=1,COUNTIF(Accounts!$A$5:$A$50,E54)=1),AND(B54="Allocation",F54="Savings &amp; Investment",OR(AND(D54&lt;&gt;"",E54="",COUNTIFS(Accounts!$A$5:$A$50,D54,Accounts!$D$5:$D$50,"Asset")=1),AND(D54="",E54&lt;&gt;"",COUNTIFS(Accounts!$A$5:$A$50,E54,Accounts!$D$5:$D$50,"Asset")=1))),AND(B54="Adjustment",F54="",OR(AND(D54&lt;&gt;"",E54="",COUNTIF(Accounts!$A$5:$A$50,D54)=1),AND(D54="",E54&lt;&gt;"",COUNTIF(Accounts!$A$5:$A$50,E54)=1)))),"OK","CHECK: Type / account / category combination")))</f>
        <v/>
      </c>
    </row>
    <row r="55" spans="1:9">
      <c r="A55" s="56"/>
      <c r="C55" s="57"/>
      <c r="I55" s="13" t="str">
        <f>IF(COUNTA(A55:H55)=0,"",IF(OR(A55="",B55="",C55="",C55&lt;=0),"CHECK: Date, Type and positive Amount required",IF(OR(AND(B55="Income",D55="",E55&lt;&gt;"",F55&lt;&gt;"",COUNTIFS(Accounts!$A$5:$A$50,E55,Accounts!$D$5:$D$50,"Asset")=1,COUNTIFS(Categories!$A$5:$A$100,F55,Categories!$C$5:$C$100,"Income")=1),AND(B55="Expense",D55&lt;&gt;"",E55="",F55&lt;&gt;"",COUNTIF(Accounts!$A$5:$A$50,D55)=1,COUNTIFS(Categories!$A$5:$A$100,F55,Categories!$C$5:$C$100,"Expense")=1),AND(B55="Refund",D55="",E55&lt;&gt;"",F55&lt;&gt;"",COUNTIF(Accounts!$A$5:$A$50,E55)=1,COUNTIFS(Categories!$A$5:$A$100,F55,Categories!$C$5:$C$100,"Expense")=1),AND(B55="Transfer",D55&lt;&gt;"",E55&lt;&gt;"",D55&lt;&gt;E55,F55="",COUNTIF(Accounts!$A$5:$A$50,D55)=1,COUNTIF(Accounts!$A$5:$A$50,E55)=1),AND(B55="Allocation",F55="Savings &amp; Investment",OR(AND(D55&lt;&gt;"",E55="",COUNTIFS(Accounts!$A$5:$A$50,D55,Accounts!$D$5:$D$50,"Asset")=1),AND(D55="",E55&lt;&gt;"",COUNTIFS(Accounts!$A$5:$A$50,E55,Accounts!$D$5:$D$50,"Asset")=1))),AND(B55="Adjustment",F55="",OR(AND(D55&lt;&gt;"",E55="",COUNTIF(Accounts!$A$5:$A$50,D55)=1),AND(D55="",E55&lt;&gt;"",COUNTIF(Accounts!$A$5:$A$50,E55)=1)))),"OK","CHECK: Type / account / category combination")))</f>
        <v/>
      </c>
    </row>
    <row r="56" spans="1:9">
      <c r="A56" s="56"/>
      <c r="C56" s="57"/>
      <c r="I56" s="13" t="str">
        <f>IF(COUNTA(A56:H56)=0,"",IF(OR(A56="",B56="",C56="",C56&lt;=0),"CHECK: Date, Type and positive Amount required",IF(OR(AND(B56="Income",D56="",E56&lt;&gt;"",F56&lt;&gt;"",COUNTIFS(Accounts!$A$5:$A$50,E56,Accounts!$D$5:$D$50,"Asset")=1,COUNTIFS(Categories!$A$5:$A$100,F56,Categories!$C$5:$C$100,"Income")=1),AND(B56="Expense",D56&lt;&gt;"",E56="",F56&lt;&gt;"",COUNTIF(Accounts!$A$5:$A$50,D56)=1,COUNTIFS(Categories!$A$5:$A$100,F56,Categories!$C$5:$C$100,"Expense")=1),AND(B56="Refund",D56="",E56&lt;&gt;"",F56&lt;&gt;"",COUNTIF(Accounts!$A$5:$A$50,E56)=1,COUNTIFS(Categories!$A$5:$A$100,F56,Categories!$C$5:$C$100,"Expense")=1),AND(B56="Transfer",D56&lt;&gt;"",E56&lt;&gt;"",D56&lt;&gt;E56,F56="",COUNTIF(Accounts!$A$5:$A$50,D56)=1,COUNTIF(Accounts!$A$5:$A$50,E56)=1),AND(B56="Allocation",F56="Savings &amp; Investment",OR(AND(D56&lt;&gt;"",E56="",COUNTIFS(Accounts!$A$5:$A$50,D56,Accounts!$D$5:$D$50,"Asset")=1),AND(D56="",E56&lt;&gt;"",COUNTIFS(Accounts!$A$5:$A$50,E56,Accounts!$D$5:$D$50,"Asset")=1))),AND(B56="Adjustment",F56="",OR(AND(D56&lt;&gt;"",E56="",COUNTIF(Accounts!$A$5:$A$50,D56)=1),AND(D56="",E56&lt;&gt;"",COUNTIF(Accounts!$A$5:$A$50,E56)=1)))),"OK","CHECK: Type / account / category combination")))</f>
        <v/>
      </c>
    </row>
    <row r="57" spans="1:9">
      <c r="A57" s="56"/>
      <c r="C57" s="57"/>
      <c r="I57" s="13" t="str">
        <f>IF(COUNTA(A57:H57)=0,"",IF(OR(A57="",B57="",C57="",C57&lt;=0),"CHECK: Date, Type and positive Amount required",IF(OR(AND(B57="Income",D57="",E57&lt;&gt;"",F57&lt;&gt;"",COUNTIFS(Accounts!$A$5:$A$50,E57,Accounts!$D$5:$D$50,"Asset")=1,COUNTIFS(Categories!$A$5:$A$100,F57,Categories!$C$5:$C$100,"Income")=1),AND(B57="Expense",D57&lt;&gt;"",E57="",F57&lt;&gt;"",COUNTIF(Accounts!$A$5:$A$50,D57)=1,COUNTIFS(Categories!$A$5:$A$100,F57,Categories!$C$5:$C$100,"Expense")=1),AND(B57="Refund",D57="",E57&lt;&gt;"",F57&lt;&gt;"",COUNTIF(Accounts!$A$5:$A$50,E57)=1,COUNTIFS(Categories!$A$5:$A$100,F57,Categories!$C$5:$C$100,"Expense")=1),AND(B57="Transfer",D57&lt;&gt;"",E57&lt;&gt;"",D57&lt;&gt;E57,F57="",COUNTIF(Accounts!$A$5:$A$50,D57)=1,COUNTIF(Accounts!$A$5:$A$50,E57)=1),AND(B57="Allocation",F57="Savings &amp; Investment",OR(AND(D57&lt;&gt;"",E57="",COUNTIFS(Accounts!$A$5:$A$50,D57,Accounts!$D$5:$D$50,"Asset")=1),AND(D57="",E57&lt;&gt;"",COUNTIFS(Accounts!$A$5:$A$50,E57,Accounts!$D$5:$D$50,"Asset")=1))),AND(B57="Adjustment",F57="",OR(AND(D57&lt;&gt;"",E57="",COUNTIF(Accounts!$A$5:$A$50,D57)=1),AND(D57="",E57&lt;&gt;"",COUNTIF(Accounts!$A$5:$A$50,E57)=1)))),"OK","CHECK: Type / account / category combination")))</f>
        <v/>
      </c>
    </row>
    <row r="58" spans="1:9">
      <c r="A58" s="56"/>
      <c r="C58" s="57"/>
      <c r="I58" s="13" t="str">
        <f>IF(COUNTA(A58:H58)=0,"",IF(OR(A58="",B58="",C58="",C58&lt;=0),"CHECK: Date, Type and positive Amount required",IF(OR(AND(B58="Income",D58="",E58&lt;&gt;"",F58&lt;&gt;"",COUNTIFS(Accounts!$A$5:$A$50,E58,Accounts!$D$5:$D$50,"Asset")=1,COUNTIFS(Categories!$A$5:$A$100,F58,Categories!$C$5:$C$100,"Income")=1),AND(B58="Expense",D58&lt;&gt;"",E58="",F58&lt;&gt;"",COUNTIF(Accounts!$A$5:$A$50,D58)=1,COUNTIFS(Categories!$A$5:$A$100,F58,Categories!$C$5:$C$100,"Expense")=1),AND(B58="Refund",D58="",E58&lt;&gt;"",F58&lt;&gt;"",COUNTIF(Accounts!$A$5:$A$50,E58)=1,COUNTIFS(Categories!$A$5:$A$100,F58,Categories!$C$5:$C$100,"Expense")=1),AND(B58="Transfer",D58&lt;&gt;"",E58&lt;&gt;"",D58&lt;&gt;E58,F58="",COUNTIF(Accounts!$A$5:$A$50,D58)=1,COUNTIF(Accounts!$A$5:$A$50,E58)=1),AND(B58="Allocation",F58="Savings &amp; Investment",OR(AND(D58&lt;&gt;"",E58="",COUNTIFS(Accounts!$A$5:$A$50,D58,Accounts!$D$5:$D$50,"Asset")=1),AND(D58="",E58&lt;&gt;"",COUNTIFS(Accounts!$A$5:$A$50,E58,Accounts!$D$5:$D$50,"Asset")=1))),AND(B58="Adjustment",F58="",OR(AND(D58&lt;&gt;"",E58="",COUNTIF(Accounts!$A$5:$A$50,D58)=1),AND(D58="",E58&lt;&gt;"",COUNTIF(Accounts!$A$5:$A$50,E58)=1)))),"OK","CHECK: Type / account / category combination")))</f>
        <v/>
      </c>
    </row>
    <row r="59" spans="1:9">
      <c r="A59" s="56"/>
      <c r="C59" s="57"/>
      <c r="I59" s="13" t="str">
        <f>IF(COUNTA(A59:H59)=0,"",IF(OR(A59="",B59="",C59="",C59&lt;=0),"CHECK: Date, Type and positive Amount required",IF(OR(AND(B59="Income",D59="",E59&lt;&gt;"",F59&lt;&gt;"",COUNTIFS(Accounts!$A$5:$A$50,E59,Accounts!$D$5:$D$50,"Asset")=1,COUNTIFS(Categories!$A$5:$A$100,F59,Categories!$C$5:$C$100,"Income")=1),AND(B59="Expense",D59&lt;&gt;"",E59="",F59&lt;&gt;"",COUNTIF(Accounts!$A$5:$A$50,D59)=1,COUNTIFS(Categories!$A$5:$A$100,F59,Categories!$C$5:$C$100,"Expense")=1),AND(B59="Refund",D59="",E59&lt;&gt;"",F59&lt;&gt;"",COUNTIF(Accounts!$A$5:$A$50,E59)=1,COUNTIFS(Categories!$A$5:$A$100,F59,Categories!$C$5:$C$100,"Expense")=1),AND(B59="Transfer",D59&lt;&gt;"",E59&lt;&gt;"",D59&lt;&gt;E59,F59="",COUNTIF(Accounts!$A$5:$A$50,D59)=1,COUNTIF(Accounts!$A$5:$A$50,E59)=1),AND(B59="Allocation",F59="Savings &amp; Investment",OR(AND(D59&lt;&gt;"",E59="",COUNTIFS(Accounts!$A$5:$A$50,D59,Accounts!$D$5:$D$50,"Asset")=1),AND(D59="",E59&lt;&gt;"",COUNTIFS(Accounts!$A$5:$A$50,E59,Accounts!$D$5:$D$50,"Asset")=1))),AND(B59="Adjustment",F59="",OR(AND(D59&lt;&gt;"",E59="",COUNTIF(Accounts!$A$5:$A$50,D59)=1),AND(D59="",E59&lt;&gt;"",COUNTIF(Accounts!$A$5:$A$50,E59)=1)))),"OK","CHECK: Type / account / category combination")))</f>
        <v/>
      </c>
    </row>
    <row r="60" spans="1:9">
      <c r="A60" s="56"/>
      <c r="C60" s="57"/>
      <c r="I60" s="13" t="str">
        <f>IF(COUNTA(A60:H60)=0,"",IF(OR(A60="",B60="",C60="",C60&lt;=0),"CHECK: Date, Type and positive Amount required",IF(OR(AND(B60="Income",D60="",E60&lt;&gt;"",F60&lt;&gt;"",COUNTIFS(Accounts!$A$5:$A$50,E60,Accounts!$D$5:$D$50,"Asset")=1,COUNTIFS(Categories!$A$5:$A$100,F60,Categories!$C$5:$C$100,"Income")=1),AND(B60="Expense",D60&lt;&gt;"",E60="",F60&lt;&gt;"",COUNTIF(Accounts!$A$5:$A$50,D60)=1,COUNTIFS(Categories!$A$5:$A$100,F60,Categories!$C$5:$C$100,"Expense")=1),AND(B60="Refund",D60="",E60&lt;&gt;"",F60&lt;&gt;"",COUNTIF(Accounts!$A$5:$A$50,E60)=1,COUNTIFS(Categories!$A$5:$A$100,F60,Categories!$C$5:$C$100,"Expense")=1),AND(B60="Transfer",D60&lt;&gt;"",E60&lt;&gt;"",D60&lt;&gt;E60,F60="",COUNTIF(Accounts!$A$5:$A$50,D60)=1,COUNTIF(Accounts!$A$5:$A$50,E60)=1),AND(B60="Allocation",F60="Savings &amp; Investment",OR(AND(D60&lt;&gt;"",E60="",COUNTIFS(Accounts!$A$5:$A$50,D60,Accounts!$D$5:$D$50,"Asset")=1),AND(D60="",E60&lt;&gt;"",COUNTIFS(Accounts!$A$5:$A$50,E60,Accounts!$D$5:$D$50,"Asset")=1))),AND(B60="Adjustment",F60="",OR(AND(D60&lt;&gt;"",E60="",COUNTIF(Accounts!$A$5:$A$50,D60)=1),AND(D60="",E60&lt;&gt;"",COUNTIF(Accounts!$A$5:$A$50,E60)=1)))),"OK","CHECK: Type / account / category combination")))</f>
        <v/>
      </c>
    </row>
    <row r="61" spans="1:9">
      <c r="A61" s="56"/>
      <c r="C61" s="57"/>
      <c r="I61" s="13" t="str">
        <f>IF(COUNTA(A61:H61)=0,"",IF(OR(A61="",B61="",C61="",C61&lt;=0),"CHECK: Date, Type and positive Amount required",IF(OR(AND(B61="Income",D61="",E61&lt;&gt;"",F61&lt;&gt;"",COUNTIFS(Accounts!$A$5:$A$50,E61,Accounts!$D$5:$D$50,"Asset")=1,COUNTIFS(Categories!$A$5:$A$100,F61,Categories!$C$5:$C$100,"Income")=1),AND(B61="Expense",D61&lt;&gt;"",E61="",F61&lt;&gt;"",COUNTIF(Accounts!$A$5:$A$50,D61)=1,COUNTIFS(Categories!$A$5:$A$100,F61,Categories!$C$5:$C$100,"Expense")=1),AND(B61="Refund",D61="",E61&lt;&gt;"",F61&lt;&gt;"",COUNTIF(Accounts!$A$5:$A$50,E61)=1,COUNTIFS(Categories!$A$5:$A$100,F61,Categories!$C$5:$C$100,"Expense")=1),AND(B61="Transfer",D61&lt;&gt;"",E61&lt;&gt;"",D61&lt;&gt;E61,F61="",COUNTIF(Accounts!$A$5:$A$50,D61)=1,COUNTIF(Accounts!$A$5:$A$50,E61)=1),AND(B61="Allocation",F61="Savings &amp; Investment",OR(AND(D61&lt;&gt;"",E61="",COUNTIFS(Accounts!$A$5:$A$50,D61,Accounts!$D$5:$D$50,"Asset")=1),AND(D61="",E61&lt;&gt;"",COUNTIFS(Accounts!$A$5:$A$50,E61,Accounts!$D$5:$D$50,"Asset")=1))),AND(B61="Adjustment",F61="",OR(AND(D61&lt;&gt;"",E61="",COUNTIF(Accounts!$A$5:$A$50,D61)=1),AND(D61="",E61&lt;&gt;"",COUNTIF(Accounts!$A$5:$A$50,E61)=1)))),"OK","CHECK: Type / account / category combination")))</f>
        <v/>
      </c>
    </row>
    <row r="62" spans="1:9">
      <c r="A62" s="56"/>
      <c r="C62" s="57"/>
      <c r="I62" s="13" t="str">
        <f>IF(COUNTA(A62:H62)=0,"",IF(OR(A62="",B62="",C62="",C62&lt;=0),"CHECK: Date, Type and positive Amount required",IF(OR(AND(B62="Income",D62="",E62&lt;&gt;"",F62&lt;&gt;"",COUNTIFS(Accounts!$A$5:$A$50,E62,Accounts!$D$5:$D$50,"Asset")=1,COUNTIFS(Categories!$A$5:$A$100,F62,Categories!$C$5:$C$100,"Income")=1),AND(B62="Expense",D62&lt;&gt;"",E62="",F62&lt;&gt;"",COUNTIF(Accounts!$A$5:$A$50,D62)=1,COUNTIFS(Categories!$A$5:$A$100,F62,Categories!$C$5:$C$100,"Expense")=1),AND(B62="Refund",D62="",E62&lt;&gt;"",F62&lt;&gt;"",COUNTIF(Accounts!$A$5:$A$50,E62)=1,COUNTIFS(Categories!$A$5:$A$100,F62,Categories!$C$5:$C$100,"Expense")=1),AND(B62="Transfer",D62&lt;&gt;"",E62&lt;&gt;"",D62&lt;&gt;E62,F62="",COUNTIF(Accounts!$A$5:$A$50,D62)=1,COUNTIF(Accounts!$A$5:$A$50,E62)=1),AND(B62="Allocation",F62="Savings &amp; Investment",OR(AND(D62&lt;&gt;"",E62="",COUNTIFS(Accounts!$A$5:$A$50,D62,Accounts!$D$5:$D$50,"Asset")=1),AND(D62="",E62&lt;&gt;"",COUNTIFS(Accounts!$A$5:$A$50,E62,Accounts!$D$5:$D$50,"Asset")=1))),AND(B62="Adjustment",F62="",OR(AND(D62&lt;&gt;"",E62="",COUNTIF(Accounts!$A$5:$A$50,D62)=1),AND(D62="",E62&lt;&gt;"",COUNTIF(Accounts!$A$5:$A$50,E62)=1)))),"OK","CHECK: Type / account / category combination")))</f>
        <v/>
      </c>
    </row>
    <row r="63" spans="1:9">
      <c r="A63" s="56"/>
      <c r="C63" s="57"/>
      <c r="I63" s="13" t="str">
        <f>IF(COUNTA(A63:H63)=0,"",IF(OR(A63="",B63="",C63="",C63&lt;=0),"CHECK: Date, Type and positive Amount required",IF(OR(AND(B63="Income",D63="",E63&lt;&gt;"",F63&lt;&gt;"",COUNTIFS(Accounts!$A$5:$A$50,E63,Accounts!$D$5:$D$50,"Asset")=1,COUNTIFS(Categories!$A$5:$A$100,F63,Categories!$C$5:$C$100,"Income")=1),AND(B63="Expense",D63&lt;&gt;"",E63="",F63&lt;&gt;"",COUNTIF(Accounts!$A$5:$A$50,D63)=1,COUNTIFS(Categories!$A$5:$A$100,F63,Categories!$C$5:$C$100,"Expense")=1),AND(B63="Refund",D63="",E63&lt;&gt;"",F63&lt;&gt;"",COUNTIF(Accounts!$A$5:$A$50,E63)=1,COUNTIFS(Categories!$A$5:$A$100,F63,Categories!$C$5:$C$100,"Expense")=1),AND(B63="Transfer",D63&lt;&gt;"",E63&lt;&gt;"",D63&lt;&gt;E63,F63="",COUNTIF(Accounts!$A$5:$A$50,D63)=1,COUNTIF(Accounts!$A$5:$A$50,E63)=1),AND(B63="Allocation",F63="Savings &amp; Investment",OR(AND(D63&lt;&gt;"",E63="",COUNTIFS(Accounts!$A$5:$A$50,D63,Accounts!$D$5:$D$50,"Asset")=1),AND(D63="",E63&lt;&gt;"",COUNTIFS(Accounts!$A$5:$A$50,E63,Accounts!$D$5:$D$50,"Asset")=1))),AND(B63="Adjustment",F63="",OR(AND(D63&lt;&gt;"",E63="",COUNTIF(Accounts!$A$5:$A$50,D63)=1),AND(D63="",E63&lt;&gt;"",COUNTIF(Accounts!$A$5:$A$50,E63)=1)))),"OK","CHECK: Type / account / category combination")))</f>
        <v/>
      </c>
    </row>
    <row r="64" spans="1:9">
      <c r="A64" s="56"/>
      <c r="C64" s="57"/>
      <c r="I64" s="13" t="str">
        <f>IF(COUNTA(A64:H64)=0,"",IF(OR(A64="",B64="",C64="",C64&lt;=0),"CHECK: Date, Type and positive Amount required",IF(OR(AND(B64="Income",D64="",E64&lt;&gt;"",F64&lt;&gt;"",COUNTIFS(Accounts!$A$5:$A$50,E64,Accounts!$D$5:$D$50,"Asset")=1,COUNTIFS(Categories!$A$5:$A$100,F64,Categories!$C$5:$C$100,"Income")=1),AND(B64="Expense",D64&lt;&gt;"",E64="",F64&lt;&gt;"",COUNTIF(Accounts!$A$5:$A$50,D64)=1,COUNTIFS(Categories!$A$5:$A$100,F64,Categories!$C$5:$C$100,"Expense")=1),AND(B64="Refund",D64="",E64&lt;&gt;"",F64&lt;&gt;"",COUNTIF(Accounts!$A$5:$A$50,E64)=1,COUNTIFS(Categories!$A$5:$A$100,F64,Categories!$C$5:$C$100,"Expense")=1),AND(B64="Transfer",D64&lt;&gt;"",E64&lt;&gt;"",D64&lt;&gt;E64,F64="",COUNTIF(Accounts!$A$5:$A$50,D64)=1,COUNTIF(Accounts!$A$5:$A$50,E64)=1),AND(B64="Allocation",F64="Savings &amp; Investment",OR(AND(D64&lt;&gt;"",E64="",COUNTIFS(Accounts!$A$5:$A$50,D64,Accounts!$D$5:$D$50,"Asset")=1),AND(D64="",E64&lt;&gt;"",COUNTIFS(Accounts!$A$5:$A$50,E64,Accounts!$D$5:$D$50,"Asset")=1))),AND(B64="Adjustment",F64="",OR(AND(D64&lt;&gt;"",E64="",COUNTIF(Accounts!$A$5:$A$50,D64)=1),AND(D64="",E64&lt;&gt;"",COUNTIF(Accounts!$A$5:$A$50,E64)=1)))),"OK","CHECK: Type / account / category combination")))</f>
        <v/>
      </c>
    </row>
    <row r="65" spans="1:9">
      <c r="A65" s="56"/>
      <c r="C65" s="57"/>
      <c r="I65" s="13" t="str">
        <f>IF(COUNTA(A65:H65)=0,"",IF(OR(A65="",B65="",C65="",C65&lt;=0),"CHECK: Date, Type and positive Amount required",IF(OR(AND(B65="Income",D65="",E65&lt;&gt;"",F65&lt;&gt;"",COUNTIFS(Accounts!$A$5:$A$50,E65,Accounts!$D$5:$D$50,"Asset")=1,COUNTIFS(Categories!$A$5:$A$100,F65,Categories!$C$5:$C$100,"Income")=1),AND(B65="Expense",D65&lt;&gt;"",E65="",F65&lt;&gt;"",COUNTIF(Accounts!$A$5:$A$50,D65)=1,COUNTIFS(Categories!$A$5:$A$100,F65,Categories!$C$5:$C$100,"Expense")=1),AND(B65="Refund",D65="",E65&lt;&gt;"",F65&lt;&gt;"",COUNTIF(Accounts!$A$5:$A$50,E65)=1,COUNTIFS(Categories!$A$5:$A$100,F65,Categories!$C$5:$C$100,"Expense")=1),AND(B65="Transfer",D65&lt;&gt;"",E65&lt;&gt;"",D65&lt;&gt;E65,F65="",COUNTIF(Accounts!$A$5:$A$50,D65)=1,COUNTIF(Accounts!$A$5:$A$50,E65)=1),AND(B65="Allocation",F65="Savings &amp; Investment",OR(AND(D65&lt;&gt;"",E65="",COUNTIFS(Accounts!$A$5:$A$50,D65,Accounts!$D$5:$D$50,"Asset")=1),AND(D65="",E65&lt;&gt;"",COUNTIFS(Accounts!$A$5:$A$50,E65,Accounts!$D$5:$D$50,"Asset")=1))),AND(B65="Adjustment",F65="",OR(AND(D65&lt;&gt;"",E65="",COUNTIF(Accounts!$A$5:$A$50,D65)=1),AND(D65="",E65&lt;&gt;"",COUNTIF(Accounts!$A$5:$A$50,E65)=1)))),"OK","CHECK: Type / account / category combination")))</f>
        <v/>
      </c>
    </row>
    <row r="66" spans="1:9">
      <c r="A66" s="56"/>
      <c r="C66" s="57"/>
      <c r="I66" s="13" t="str">
        <f>IF(COUNTA(A66:H66)=0,"",IF(OR(A66="",B66="",C66="",C66&lt;=0),"CHECK: Date, Type and positive Amount required",IF(OR(AND(B66="Income",D66="",E66&lt;&gt;"",F66&lt;&gt;"",COUNTIFS(Accounts!$A$5:$A$50,E66,Accounts!$D$5:$D$50,"Asset")=1,COUNTIFS(Categories!$A$5:$A$100,F66,Categories!$C$5:$C$100,"Income")=1),AND(B66="Expense",D66&lt;&gt;"",E66="",F66&lt;&gt;"",COUNTIF(Accounts!$A$5:$A$50,D66)=1,COUNTIFS(Categories!$A$5:$A$100,F66,Categories!$C$5:$C$100,"Expense")=1),AND(B66="Refund",D66="",E66&lt;&gt;"",F66&lt;&gt;"",COUNTIF(Accounts!$A$5:$A$50,E66)=1,COUNTIFS(Categories!$A$5:$A$100,F66,Categories!$C$5:$C$100,"Expense")=1),AND(B66="Transfer",D66&lt;&gt;"",E66&lt;&gt;"",D66&lt;&gt;E66,F66="",COUNTIF(Accounts!$A$5:$A$50,D66)=1,COUNTIF(Accounts!$A$5:$A$50,E66)=1),AND(B66="Allocation",F66="Savings &amp; Investment",OR(AND(D66&lt;&gt;"",E66="",COUNTIFS(Accounts!$A$5:$A$50,D66,Accounts!$D$5:$D$50,"Asset")=1),AND(D66="",E66&lt;&gt;"",COUNTIFS(Accounts!$A$5:$A$50,E66,Accounts!$D$5:$D$50,"Asset")=1))),AND(B66="Adjustment",F66="",OR(AND(D66&lt;&gt;"",E66="",COUNTIF(Accounts!$A$5:$A$50,D66)=1),AND(D66="",E66&lt;&gt;"",COUNTIF(Accounts!$A$5:$A$50,E66)=1)))),"OK","CHECK: Type / account / category combination")))</f>
        <v/>
      </c>
    </row>
    <row r="67" spans="1:9">
      <c r="A67" s="56"/>
      <c r="C67" s="57"/>
      <c r="I67" s="13" t="str">
        <f>IF(COUNTA(A67:H67)=0,"",IF(OR(A67="",B67="",C67="",C67&lt;=0),"CHECK: Date, Type and positive Amount required",IF(OR(AND(B67="Income",D67="",E67&lt;&gt;"",F67&lt;&gt;"",COUNTIFS(Accounts!$A$5:$A$50,E67,Accounts!$D$5:$D$50,"Asset")=1,COUNTIFS(Categories!$A$5:$A$100,F67,Categories!$C$5:$C$100,"Income")=1),AND(B67="Expense",D67&lt;&gt;"",E67="",F67&lt;&gt;"",COUNTIF(Accounts!$A$5:$A$50,D67)=1,COUNTIFS(Categories!$A$5:$A$100,F67,Categories!$C$5:$C$100,"Expense")=1),AND(B67="Refund",D67="",E67&lt;&gt;"",F67&lt;&gt;"",COUNTIF(Accounts!$A$5:$A$50,E67)=1,COUNTIFS(Categories!$A$5:$A$100,F67,Categories!$C$5:$C$100,"Expense")=1),AND(B67="Transfer",D67&lt;&gt;"",E67&lt;&gt;"",D67&lt;&gt;E67,F67="",COUNTIF(Accounts!$A$5:$A$50,D67)=1,COUNTIF(Accounts!$A$5:$A$50,E67)=1),AND(B67="Allocation",F67="Savings &amp; Investment",OR(AND(D67&lt;&gt;"",E67="",COUNTIFS(Accounts!$A$5:$A$50,D67,Accounts!$D$5:$D$50,"Asset")=1),AND(D67="",E67&lt;&gt;"",COUNTIFS(Accounts!$A$5:$A$50,E67,Accounts!$D$5:$D$50,"Asset")=1))),AND(B67="Adjustment",F67="",OR(AND(D67&lt;&gt;"",E67="",COUNTIF(Accounts!$A$5:$A$50,D67)=1),AND(D67="",E67&lt;&gt;"",COUNTIF(Accounts!$A$5:$A$50,E67)=1)))),"OK","CHECK: Type / account / category combination")))</f>
        <v/>
      </c>
    </row>
    <row r="68" spans="1:9">
      <c r="A68" s="56"/>
      <c r="C68" s="57"/>
      <c r="I68" s="13" t="str">
        <f>IF(COUNTA(A68:H68)=0,"",IF(OR(A68="",B68="",C68="",C68&lt;=0),"CHECK: Date, Type and positive Amount required",IF(OR(AND(B68="Income",D68="",E68&lt;&gt;"",F68&lt;&gt;"",COUNTIFS(Accounts!$A$5:$A$50,E68,Accounts!$D$5:$D$50,"Asset")=1,COUNTIFS(Categories!$A$5:$A$100,F68,Categories!$C$5:$C$100,"Income")=1),AND(B68="Expense",D68&lt;&gt;"",E68="",F68&lt;&gt;"",COUNTIF(Accounts!$A$5:$A$50,D68)=1,COUNTIFS(Categories!$A$5:$A$100,F68,Categories!$C$5:$C$100,"Expense")=1),AND(B68="Refund",D68="",E68&lt;&gt;"",F68&lt;&gt;"",COUNTIF(Accounts!$A$5:$A$50,E68)=1,COUNTIFS(Categories!$A$5:$A$100,F68,Categories!$C$5:$C$100,"Expense")=1),AND(B68="Transfer",D68&lt;&gt;"",E68&lt;&gt;"",D68&lt;&gt;E68,F68="",COUNTIF(Accounts!$A$5:$A$50,D68)=1,COUNTIF(Accounts!$A$5:$A$50,E68)=1),AND(B68="Allocation",F68="Savings &amp; Investment",OR(AND(D68&lt;&gt;"",E68="",COUNTIFS(Accounts!$A$5:$A$50,D68,Accounts!$D$5:$D$50,"Asset")=1),AND(D68="",E68&lt;&gt;"",COUNTIFS(Accounts!$A$5:$A$50,E68,Accounts!$D$5:$D$50,"Asset")=1))),AND(B68="Adjustment",F68="",OR(AND(D68&lt;&gt;"",E68="",COUNTIF(Accounts!$A$5:$A$50,D68)=1),AND(D68="",E68&lt;&gt;"",COUNTIF(Accounts!$A$5:$A$50,E68)=1)))),"OK","CHECK: Type / account / category combination")))</f>
        <v/>
      </c>
    </row>
    <row r="69" spans="1:9">
      <c r="A69" s="56"/>
      <c r="C69" s="57"/>
      <c r="I69" s="13" t="str">
        <f>IF(COUNTA(A69:H69)=0,"",IF(OR(A69="",B69="",C69="",C69&lt;=0),"CHECK: Date, Type and positive Amount required",IF(OR(AND(B69="Income",D69="",E69&lt;&gt;"",F69&lt;&gt;"",COUNTIFS(Accounts!$A$5:$A$50,E69,Accounts!$D$5:$D$50,"Asset")=1,COUNTIFS(Categories!$A$5:$A$100,F69,Categories!$C$5:$C$100,"Income")=1),AND(B69="Expense",D69&lt;&gt;"",E69="",F69&lt;&gt;"",COUNTIF(Accounts!$A$5:$A$50,D69)=1,COUNTIFS(Categories!$A$5:$A$100,F69,Categories!$C$5:$C$100,"Expense")=1),AND(B69="Refund",D69="",E69&lt;&gt;"",F69&lt;&gt;"",COUNTIF(Accounts!$A$5:$A$50,E69)=1,COUNTIFS(Categories!$A$5:$A$100,F69,Categories!$C$5:$C$100,"Expense")=1),AND(B69="Transfer",D69&lt;&gt;"",E69&lt;&gt;"",D69&lt;&gt;E69,F69="",COUNTIF(Accounts!$A$5:$A$50,D69)=1,COUNTIF(Accounts!$A$5:$A$50,E69)=1),AND(B69="Allocation",F69="Savings &amp; Investment",OR(AND(D69&lt;&gt;"",E69="",COUNTIFS(Accounts!$A$5:$A$50,D69,Accounts!$D$5:$D$50,"Asset")=1),AND(D69="",E69&lt;&gt;"",COUNTIFS(Accounts!$A$5:$A$50,E69,Accounts!$D$5:$D$50,"Asset")=1))),AND(B69="Adjustment",F69="",OR(AND(D69&lt;&gt;"",E69="",COUNTIF(Accounts!$A$5:$A$50,D69)=1),AND(D69="",E69&lt;&gt;"",COUNTIF(Accounts!$A$5:$A$50,E69)=1)))),"OK","CHECK: Type / account / category combination")))</f>
        <v/>
      </c>
    </row>
    <row r="70" spans="1:9">
      <c r="A70" s="56"/>
      <c r="C70" s="57"/>
      <c r="I70" s="13" t="str">
        <f>IF(COUNTA(A70:H70)=0,"",IF(OR(A70="",B70="",C70="",C70&lt;=0),"CHECK: Date, Type and positive Amount required",IF(OR(AND(B70="Income",D70="",E70&lt;&gt;"",F70&lt;&gt;"",COUNTIFS(Accounts!$A$5:$A$50,E70,Accounts!$D$5:$D$50,"Asset")=1,COUNTIFS(Categories!$A$5:$A$100,F70,Categories!$C$5:$C$100,"Income")=1),AND(B70="Expense",D70&lt;&gt;"",E70="",F70&lt;&gt;"",COUNTIF(Accounts!$A$5:$A$50,D70)=1,COUNTIFS(Categories!$A$5:$A$100,F70,Categories!$C$5:$C$100,"Expense")=1),AND(B70="Refund",D70="",E70&lt;&gt;"",F70&lt;&gt;"",COUNTIF(Accounts!$A$5:$A$50,E70)=1,COUNTIFS(Categories!$A$5:$A$100,F70,Categories!$C$5:$C$100,"Expense")=1),AND(B70="Transfer",D70&lt;&gt;"",E70&lt;&gt;"",D70&lt;&gt;E70,F70="",COUNTIF(Accounts!$A$5:$A$50,D70)=1,COUNTIF(Accounts!$A$5:$A$50,E70)=1),AND(B70="Allocation",F70="Savings &amp; Investment",OR(AND(D70&lt;&gt;"",E70="",COUNTIFS(Accounts!$A$5:$A$50,D70,Accounts!$D$5:$D$50,"Asset")=1),AND(D70="",E70&lt;&gt;"",COUNTIFS(Accounts!$A$5:$A$50,E70,Accounts!$D$5:$D$50,"Asset")=1))),AND(B70="Adjustment",F70="",OR(AND(D70&lt;&gt;"",E70="",COUNTIF(Accounts!$A$5:$A$50,D70)=1),AND(D70="",E70&lt;&gt;"",COUNTIF(Accounts!$A$5:$A$50,E70)=1)))),"OK","CHECK: Type / account / category combination")))</f>
        <v/>
      </c>
    </row>
    <row r="71" spans="1:9">
      <c r="A71" s="56"/>
      <c r="C71" s="57"/>
      <c r="I71" s="13" t="str">
        <f>IF(COUNTA(A71:H71)=0,"",IF(OR(A71="",B71="",C71="",C71&lt;=0),"CHECK: Date, Type and positive Amount required",IF(OR(AND(B71="Income",D71="",E71&lt;&gt;"",F71&lt;&gt;"",COUNTIFS(Accounts!$A$5:$A$50,E71,Accounts!$D$5:$D$50,"Asset")=1,COUNTIFS(Categories!$A$5:$A$100,F71,Categories!$C$5:$C$100,"Income")=1),AND(B71="Expense",D71&lt;&gt;"",E71="",F71&lt;&gt;"",COUNTIF(Accounts!$A$5:$A$50,D71)=1,COUNTIFS(Categories!$A$5:$A$100,F71,Categories!$C$5:$C$100,"Expense")=1),AND(B71="Refund",D71="",E71&lt;&gt;"",F71&lt;&gt;"",COUNTIF(Accounts!$A$5:$A$50,E71)=1,COUNTIFS(Categories!$A$5:$A$100,F71,Categories!$C$5:$C$100,"Expense")=1),AND(B71="Transfer",D71&lt;&gt;"",E71&lt;&gt;"",D71&lt;&gt;E71,F71="",COUNTIF(Accounts!$A$5:$A$50,D71)=1,COUNTIF(Accounts!$A$5:$A$50,E71)=1),AND(B71="Allocation",F71="Savings &amp; Investment",OR(AND(D71&lt;&gt;"",E71="",COUNTIFS(Accounts!$A$5:$A$50,D71,Accounts!$D$5:$D$50,"Asset")=1),AND(D71="",E71&lt;&gt;"",COUNTIFS(Accounts!$A$5:$A$50,E71,Accounts!$D$5:$D$50,"Asset")=1))),AND(B71="Adjustment",F71="",OR(AND(D71&lt;&gt;"",E71="",COUNTIF(Accounts!$A$5:$A$50,D71)=1),AND(D71="",E71&lt;&gt;"",COUNTIF(Accounts!$A$5:$A$50,E71)=1)))),"OK","CHECK: Type / account / category combination")))</f>
        <v/>
      </c>
    </row>
    <row r="72" spans="1:9">
      <c r="A72" s="56"/>
      <c r="C72" s="57"/>
      <c r="I72" s="13" t="str">
        <f>IF(COUNTA(A72:H72)=0,"",IF(OR(A72="",B72="",C72="",C72&lt;=0),"CHECK: Date, Type and positive Amount required",IF(OR(AND(B72="Income",D72="",E72&lt;&gt;"",F72&lt;&gt;"",COUNTIFS(Accounts!$A$5:$A$50,E72,Accounts!$D$5:$D$50,"Asset")=1,COUNTIFS(Categories!$A$5:$A$100,F72,Categories!$C$5:$C$100,"Income")=1),AND(B72="Expense",D72&lt;&gt;"",E72="",F72&lt;&gt;"",COUNTIF(Accounts!$A$5:$A$50,D72)=1,COUNTIFS(Categories!$A$5:$A$100,F72,Categories!$C$5:$C$100,"Expense")=1),AND(B72="Refund",D72="",E72&lt;&gt;"",F72&lt;&gt;"",COUNTIF(Accounts!$A$5:$A$50,E72)=1,COUNTIFS(Categories!$A$5:$A$100,F72,Categories!$C$5:$C$100,"Expense")=1),AND(B72="Transfer",D72&lt;&gt;"",E72&lt;&gt;"",D72&lt;&gt;E72,F72="",COUNTIF(Accounts!$A$5:$A$50,D72)=1,COUNTIF(Accounts!$A$5:$A$50,E72)=1),AND(B72="Allocation",F72="Savings &amp; Investment",OR(AND(D72&lt;&gt;"",E72="",COUNTIFS(Accounts!$A$5:$A$50,D72,Accounts!$D$5:$D$50,"Asset")=1),AND(D72="",E72&lt;&gt;"",COUNTIFS(Accounts!$A$5:$A$50,E72,Accounts!$D$5:$D$50,"Asset")=1))),AND(B72="Adjustment",F72="",OR(AND(D72&lt;&gt;"",E72="",COUNTIF(Accounts!$A$5:$A$50,D72)=1),AND(D72="",E72&lt;&gt;"",COUNTIF(Accounts!$A$5:$A$50,E72)=1)))),"OK","CHECK: Type / account / category combination")))</f>
        <v/>
      </c>
    </row>
    <row r="73" spans="1:9">
      <c r="A73" s="56"/>
      <c r="C73" s="57"/>
      <c r="I73" s="13" t="str">
        <f>IF(COUNTA(A73:H73)=0,"",IF(OR(A73="",B73="",C73="",C73&lt;=0),"CHECK: Date, Type and positive Amount required",IF(OR(AND(B73="Income",D73="",E73&lt;&gt;"",F73&lt;&gt;"",COUNTIFS(Accounts!$A$5:$A$50,E73,Accounts!$D$5:$D$50,"Asset")=1,COUNTIFS(Categories!$A$5:$A$100,F73,Categories!$C$5:$C$100,"Income")=1),AND(B73="Expense",D73&lt;&gt;"",E73="",F73&lt;&gt;"",COUNTIF(Accounts!$A$5:$A$50,D73)=1,COUNTIFS(Categories!$A$5:$A$100,F73,Categories!$C$5:$C$100,"Expense")=1),AND(B73="Refund",D73="",E73&lt;&gt;"",F73&lt;&gt;"",COUNTIF(Accounts!$A$5:$A$50,E73)=1,COUNTIFS(Categories!$A$5:$A$100,F73,Categories!$C$5:$C$100,"Expense")=1),AND(B73="Transfer",D73&lt;&gt;"",E73&lt;&gt;"",D73&lt;&gt;E73,F73="",COUNTIF(Accounts!$A$5:$A$50,D73)=1,COUNTIF(Accounts!$A$5:$A$50,E73)=1),AND(B73="Allocation",F73="Savings &amp; Investment",OR(AND(D73&lt;&gt;"",E73="",COUNTIFS(Accounts!$A$5:$A$50,D73,Accounts!$D$5:$D$50,"Asset")=1),AND(D73="",E73&lt;&gt;"",COUNTIFS(Accounts!$A$5:$A$50,E73,Accounts!$D$5:$D$50,"Asset")=1))),AND(B73="Adjustment",F73="",OR(AND(D73&lt;&gt;"",E73="",COUNTIF(Accounts!$A$5:$A$50,D73)=1),AND(D73="",E73&lt;&gt;"",COUNTIF(Accounts!$A$5:$A$50,E73)=1)))),"OK","CHECK: Type / account / category combination")))</f>
        <v/>
      </c>
    </row>
    <row r="74" spans="1:9">
      <c r="A74" s="56"/>
      <c r="C74" s="57"/>
      <c r="I74" s="13" t="str">
        <f>IF(COUNTA(A74:H74)=0,"",IF(OR(A74="",B74="",C74="",C74&lt;=0),"CHECK: Date, Type and positive Amount required",IF(OR(AND(B74="Income",D74="",E74&lt;&gt;"",F74&lt;&gt;"",COUNTIFS(Accounts!$A$5:$A$50,E74,Accounts!$D$5:$D$50,"Asset")=1,COUNTIFS(Categories!$A$5:$A$100,F74,Categories!$C$5:$C$100,"Income")=1),AND(B74="Expense",D74&lt;&gt;"",E74="",F74&lt;&gt;"",COUNTIF(Accounts!$A$5:$A$50,D74)=1,COUNTIFS(Categories!$A$5:$A$100,F74,Categories!$C$5:$C$100,"Expense")=1),AND(B74="Refund",D74="",E74&lt;&gt;"",F74&lt;&gt;"",COUNTIF(Accounts!$A$5:$A$50,E74)=1,COUNTIFS(Categories!$A$5:$A$100,F74,Categories!$C$5:$C$100,"Expense")=1),AND(B74="Transfer",D74&lt;&gt;"",E74&lt;&gt;"",D74&lt;&gt;E74,F74="",COUNTIF(Accounts!$A$5:$A$50,D74)=1,COUNTIF(Accounts!$A$5:$A$50,E74)=1),AND(B74="Allocation",F74="Savings &amp; Investment",OR(AND(D74&lt;&gt;"",E74="",COUNTIFS(Accounts!$A$5:$A$50,D74,Accounts!$D$5:$D$50,"Asset")=1),AND(D74="",E74&lt;&gt;"",COUNTIFS(Accounts!$A$5:$A$50,E74,Accounts!$D$5:$D$50,"Asset")=1))),AND(B74="Adjustment",F74="",OR(AND(D74&lt;&gt;"",E74="",COUNTIF(Accounts!$A$5:$A$50,D74)=1),AND(D74="",E74&lt;&gt;"",COUNTIF(Accounts!$A$5:$A$50,E74)=1)))),"OK","CHECK: Type / account / category combination")))</f>
        <v/>
      </c>
    </row>
    <row r="75" spans="1:9">
      <c r="A75" s="56"/>
      <c r="C75" s="57"/>
      <c r="I75" s="13" t="str">
        <f>IF(COUNTA(A75:H75)=0,"",IF(OR(A75="",B75="",C75="",C75&lt;=0),"CHECK: Date, Type and positive Amount required",IF(OR(AND(B75="Income",D75="",E75&lt;&gt;"",F75&lt;&gt;"",COUNTIFS(Accounts!$A$5:$A$50,E75,Accounts!$D$5:$D$50,"Asset")=1,COUNTIFS(Categories!$A$5:$A$100,F75,Categories!$C$5:$C$100,"Income")=1),AND(B75="Expense",D75&lt;&gt;"",E75="",F75&lt;&gt;"",COUNTIF(Accounts!$A$5:$A$50,D75)=1,COUNTIFS(Categories!$A$5:$A$100,F75,Categories!$C$5:$C$100,"Expense")=1),AND(B75="Refund",D75="",E75&lt;&gt;"",F75&lt;&gt;"",COUNTIF(Accounts!$A$5:$A$50,E75)=1,COUNTIFS(Categories!$A$5:$A$100,F75,Categories!$C$5:$C$100,"Expense")=1),AND(B75="Transfer",D75&lt;&gt;"",E75&lt;&gt;"",D75&lt;&gt;E75,F75="",COUNTIF(Accounts!$A$5:$A$50,D75)=1,COUNTIF(Accounts!$A$5:$A$50,E75)=1),AND(B75="Allocation",F75="Savings &amp; Investment",OR(AND(D75&lt;&gt;"",E75="",COUNTIFS(Accounts!$A$5:$A$50,D75,Accounts!$D$5:$D$50,"Asset")=1),AND(D75="",E75&lt;&gt;"",COUNTIFS(Accounts!$A$5:$A$50,E75,Accounts!$D$5:$D$50,"Asset")=1))),AND(B75="Adjustment",F75="",OR(AND(D75&lt;&gt;"",E75="",COUNTIF(Accounts!$A$5:$A$50,D75)=1),AND(D75="",E75&lt;&gt;"",COUNTIF(Accounts!$A$5:$A$50,E75)=1)))),"OK","CHECK: Type / account / category combination")))</f>
        <v/>
      </c>
    </row>
    <row r="76" spans="1:9">
      <c r="A76" s="56"/>
      <c r="C76" s="57"/>
      <c r="I76" s="13" t="str">
        <f>IF(COUNTA(A76:H76)=0,"",IF(OR(A76="",B76="",C76="",C76&lt;=0),"CHECK: Date, Type and positive Amount required",IF(OR(AND(B76="Income",D76="",E76&lt;&gt;"",F76&lt;&gt;"",COUNTIFS(Accounts!$A$5:$A$50,E76,Accounts!$D$5:$D$50,"Asset")=1,COUNTIFS(Categories!$A$5:$A$100,F76,Categories!$C$5:$C$100,"Income")=1),AND(B76="Expense",D76&lt;&gt;"",E76="",F76&lt;&gt;"",COUNTIF(Accounts!$A$5:$A$50,D76)=1,COUNTIFS(Categories!$A$5:$A$100,F76,Categories!$C$5:$C$100,"Expense")=1),AND(B76="Refund",D76="",E76&lt;&gt;"",F76&lt;&gt;"",COUNTIF(Accounts!$A$5:$A$50,E76)=1,COUNTIFS(Categories!$A$5:$A$100,F76,Categories!$C$5:$C$100,"Expense")=1),AND(B76="Transfer",D76&lt;&gt;"",E76&lt;&gt;"",D76&lt;&gt;E76,F76="",COUNTIF(Accounts!$A$5:$A$50,D76)=1,COUNTIF(Accounts!$A$5:$A$50,E76)=1),AND(B76="Allocation",F76="Savings &amp; Investment",OR(AND(D76&lt;&gt;"",E76="",COUNTIFS(Accounts!$A$5:$A$50,D76,Accounts!$D$5:$D$50,"Asset")=1),AND(D76="",E76&lt;&gt;"",COUNTIFS(Accounts!$A$5:$A$50,E76,Accounts!$D$5:$D$50,"Asset")=1))),AND(B76="Adjustment",F76="",OR(AND(D76&lt;&gt;"",E76="",COUNTIF(Accounts!$A$5:$A$50,D76)=1),AND(D76="",E76&lt;&gt;"",COUNTIF(Accounts!$A$5:$A$50,E76)=1)))),"OK","CHECK: Type / account / category combination")))</f>
        <v/>
      </c>
    </row>
    <row r="77" spans="1:9">
      <c r="A77" s="56"/>
      <c r="C77" s="57"/>
      <c r="I77" s="13" t="str">
        <f>IF(COUNTA(A77:H77)=0,"",IF(OR(A77="",B77="",C77="",C77&lt;=0),"CHECK: Date, Type and positive Amount required",IF(OR(AND(B77="Income",D77="",E77&lt;&gt;"",F77&lt;&gt;"",COUNTIFS(Accounts!$A$5:$A$50,E77,Accounts!$D$5:$D$50,"Asset")=1,COUNTIFS(Categories!$A$5:$A$100,F77,Categories!$C$5:$C$100,"Income")=1),AND(B77="Expense",D77&lt;&gt;"",E77="",F77&lt;&gt;"",COUNTIF(Accounts!$A$5:$A$50,D77)=1,COUNTIFS(Categories!$A$5:$A$100,F77,Categories!$C$5:$C$100,"Expense")=1),AND(B77="Refund",D77="",E77&lt;&gt;"",F77&lt;&gt;"",COUNTIF(Accounts!$A$5:$A$50,E77)=1,COUNTIFS(Categories!$A$5:$A$100,F77,Categories!$C$5:$C$100,"Expense")=1),AND(B77="Transfer",D77&lt;&gt;"",E77&lt;&gt;"",D77&lt;&gt;E77,F77="",COUNTIF(Accounts!$A$5:$A$50,D77)=1,COUNTIF(Accounts!$A$5:$A$50,E77)=1),AND(B77="Allocation",F77="Savings &amp; Investment",OR(AND(D77&lt;&gt;"",E77="",COUNTIFS(Accounts!$A$5:$A$50,D77,Accounts!$D$5:$D$50,"Asset")=1),AND(D77="",E77&lt;&gt;"",COUNTIFS(Accounts!$A$5:$A$50,E77,Accounts!$D$5:$D$50,"Asset")=1))),AND(B77="Adjustment",F77="",OR(AND(D77&lt;&gt;"",E77="",COUNTIF(Accounts!$A$5:$A$50,D77)=1),AND(D77="",E77&lt;&gt;"",COUNTIF(Accounts!$A$5:$A$50,E77)=1)))),"OK","CHECK: Type / account / category combination")))</f>
        <v/>
      </c>
    </row>
    <row r="78" spans="1:9">
      <c r="A78" s="56"/>
      <c r="C78" s="57"/>
      <c r="I78" s="13" t="str">
        <f>IF(COUNTA(A78:H78)=0,"",IF(OR(A78="",B78="",C78="",C78&lt;=0),"CHECK: Date, Type and positive Amount required",IF(OR(AND(B78="Income",D78="",E78&lt;&gt;"",F78&lt;&gt;"",COUNTIFS(Accounts!$A$5:$A$50,E78,Accounts!$D$5:$D$50,"Asset")=1,COUNTIFS(Categories!$A$5:$A$100,F78,Categories!$C$5:$C$100,"Income")=1),AND(B78="Expense",D78&lt;&gt;"",E78="",F78&lt;&gt;"",COUNTIF(Accounts!$A$5:$A$50,D78)=1,COUNTIFS(Categories!$A$5:$A$100,F78,Categories!$C$5:$C$100,"Expense")=1),AND(B78="Refund",D78="",E78&lt;&gt;"",F78&lt;&gt;"",COUNTIF(Accounts!$A$5:$A$50,E78)=1,COUNTIFS(Categories!$A$5:$A$100,F78,Categories!$C$5:$C$100,"Expense")=1),AND(B78="Transfer",D78&lt;&gt;"",E78&lt;&gt;"",D78&lt;&gt;E78,F78="",COUNTIF(Accounts!$A$5:$A$50,D78)=1,COUNTIF(Accounts!$A$5:$A$50,E78)=1),AND(B78="Allocation",F78="Savings &amp; Investment",OR(AND(D78&lt;&gt;"",E78="",COUNTIFS(Accounts!$A$5:$A$50,D78,Accounts!$D$5:$D$50,"Asset")=1),AND(D78="",E78&lt;&gt;"",COUNTIFS(Accounts!$A$5:$A$50,E78,Accounts!$D$5:$D$50,"Asset")=1))),AND(B78="Adjustment",F78="",OR(AND(D78&lt;&gt;"",E78="",COUNTIF(Accounts!$A$5:$A$50,D78)=1),AND(D78="",E78&lt;&gt;"",COUNTIF(Accounts!$A$5:$A$50,E78)=1)))),"OK","CHECK: Type / account / category combination")))</f>
        <v/>
      </c>
    </row>
    <row r="79" spans="1:9">
      <c r="A79" s="56"/>
      <c r="C79" s="57"/>
      <c r="I79" s="13" t="str">
        <f>IF(COUNTA(A79:H79)=0,"",IF(OR(A79="",B79="",C79="",C79&lt;=0),"CHECK: Date, Type and positive Amount required",IF(OR(AND(B79="Income",D79="",E79&lt;&gt;"",F79&lt;&gt;"",COUNTIFS(Accounts!$A$5:$A$50,E79,Accounts!$D$5:$D$50,"Asset")=1,COUNTIFS(Categories!$A$5:$A$100,F79,Categories!$C$5:$C$100,"Income")=1),AND(B79="Expense",D79&lt;&gt;"",E79="",F79&lt;&gt;"",COUNTIF(Accounts!$A$5:$A$50,D79)=1,COUNTIFS(Categories!$A$5:$A$100,F79,Categories!$C$5:$C$100,"Expense")=1),AND(B79="Refund",D79="",E79&lt;&gt;"",F79&lt;&gt;"",COUNTIF(Accounts!$A$5:$A$50,E79)=1,COUNTIFS(Categories!$A$5:$A$100,F79,Categories!$C$5:$C$100,"Expense")=1),AND(B79="Transfer",D79&lt;&gt;"",E79&lt;&gt;"",D79&lt;&gt;E79,F79="",COUNTIF(Accounts!$A$5:$A$50,D79)=1,COUNTIF(Accounts!$A$5:$A$50,E79)=1),AND(B79="Allocation",F79="Savings &amp; Investment",OR(AND(D79&lt;&gt;"",E79="",COUNTIFS(Accounts!$A$5:$A$50,D79,Accounts!$D$5:$D$50,"Asset")=1),AND(D79="",E79&lt;&gt;"",COUNTIFS(Accounts!$A$5:$A$50,E79,Accounts!$D$5:$D$50,"Asset")=1))),AND(B79="Adjustment",F79="",OR(AND(D79&lt;&gt;"",E79="",COUNTIF(Accounts!$A$5:$A$50,D79)=1),AND(D79="",E79&lt;&gt;"",COUNTIF(Accounts!$A$5:$A$50,E79)=1)))),"OK","CHECK: Type / account / category combination")))</f>
        <v/>
      </c>
    </row>
    <row r="80" spans="1:9">
      <c r="A80" s="56"/>
      <c r="C80" s="57"/>
      <c r="I80" s="13" t="str">
        <f>IF(COUNTA(A80:H80)=0,"",IF(OR(A80="",B80="",C80="",C80&lt;=0),"CHECK: Date, Type and positive Amount required",IF(OR(AND(B80="Income",D80="",E80&lt;&gt;"",F80&lt;&gt;"",COUNTIFS(Accounts!$A$5:$A$50,E80,Accounts!$D$5:$D$50,"Asset")=1,COUNTIFS(Categories!$A$5:$A$100,F80,Categories!$C$5:$C$100,"Income")=1),AND(B80="Expense",D80&lt;&gt;"",E80="",F80&lt;&gt;"",COUNTIF(Accounts!$A$5:$A$50,D80)=1,COUNTIFS(Categories!$A$5:$A$100,F80,Categories!$C$5:$C$100,"Expense")=1),AND(B80="Refund",D80="",E80&lt;&gt;"",F80&lt;&gt;"",COUNTIF(Accounts!$A$5:$A$50,E80)=1,COUNTIFS(Categories!$A$5:$A$100,F80,Categories!$C$5:$C$100,"Expense")=1),AND(B80="Transfer",D80&lt;&gt;"",E80&lt;&gt;"",D80&lt;&gt;E80,F80="",COUNTIF(Accounts!$A$5:$A$50,D80)=1,COUNTIF(Accounts!$A$5:$A$50,E80)=1),AND(B80="Allocation",F80="Savings &amp; Investment",OR(AND(D80&lt;&gt;"",E80="",COUNTIFS(Accounts!$A$5:$A$50,D80,Accounts!$D$5:$D$50,"Asset")=1),AND(D80="",E80&lt;&gt;"",COUNTIFS(Accounts!$A$5:$A$50,E80,Accounts!$D$5:$D$50,"Asset")=1))),AND(B80="Adjustment",F80="",OR(AND(D80&lt;&gt;"",E80="",COUNTIF(Accounts!$A$5:$A$50,D80)=1),AND(D80="",E80&lt;&gt;"",COUNTIF(Accounts!$A$5:$A$50,E80)=1)))),"OK","CHECK: Type / account / category combination")))</f>
        <v/>
      </c>
    </row>
    <row r="81" spans="1:9">
      <c r="A81" s="56"/>
      <c r="C81" s="57"/>
      <c r="I81" s="13" t="str">
        <f>IF(COUNTA(A81:H81)=0,"",IF(OR(A81="",B81="",C81="",C81&lt;=0),"CHECK: Date, Type and positive Amount required",IF(OR(AND(B81="Income",D81="",E81&lt;&gt;"",F81&lt;&gt;"",COUNTIFS(Accounts!$A$5:$A$50,E81,Accounts!$D$5:$D$50,"Asset")=1,COUNTIFS(Categories!$A$5:$A$100,F81,Categories!$C$5:$C$100,"Income")=1),AND(B81="Expense",D81&lt;&gt;"",E81="",F81&lt;&gt;"",COUNTIF(Accounts!$A$5:$A$50,D81)=1,COUNTIFS(Categories!$A$5:$A$100,F81,Categories!$C$5:$C$100,"Expense")=1),AND(B81="Refund",D81="",E81&lt;&gt;"",F81&lt;&gt;"",COUNTIF(Accounts!$A$5:$A$50,E81)=1,COUNTIFS(Categories!$A$5:$A$100,F81,Categories!$C$5:$C$100,"Expense")=1),AND(B81="Transfer",D81&lt;&gt;"",E81&lt;&gt;"",D81&lt;&gt;E81,F81="",COUNTIF(Accounts!$A$5:$A$50,D81)=1,COUNTIF(Accounts!$A$5:$A$50,E81)=1),AND(B81="Allocation",F81="Savings &amp; Investment",OR(AND(D81&lt;&gt;"",E81="",COUNTIFS(Accounts!$A$5:$A$50,D81,Accounts!$D$5:$D$50,"Asset")=1),AND(D81="",E81&lt;&gt;"",COUNTIFS(Accounts!$A$5:$A$50,E81,Accounts!$D$5:$D$50,"Asset")=1))),AND(B81="Adjustment",F81="",OR(AND(D81&lt;&gt;"",E81="",COUNTIF(Accounts!$A$5:$A$50,D81)=1),AND(D81="",E81&lt;&gt;"",COUNTIF(Accounts!$A$5:$A$50,E81)=1)))),"OK","CHECK: Type / account / category combination")))</f>
        <v/>
      </c>
    </row>
    <row r="82" spans="1:9">
      <c r="A82" s="56"/>
      <c r="C82" s="57"/>
      <c r="I82" s="13" t="str">
        <f>IF(COUNTA(A82:H82)=0,"",IF(OR(A82="",B82="",C82="",C82&lt;=0),"CHECK: Date, Type and positive Amount required",IF(OR(AND(B82="Income",D82="",E82&lt;&gt;"",F82&lt;&gt;"",COUNTIFS(Accounts!$A$5:$A$50,E82,Accounts!$D$5:$D$50,"Asset")=1,COUNTIFS(Categories!$A$5:$A$100,F82,Categories!$C$5:$C$100,"Income")=1),AND(B82="Expense",D82&lt;&gt;"",E82="",F82&lt;&gt;"",COUNTIF(Accounts!$A$5:$A$50,D82)=1,COUNTIFS(Categories!$A$5:$A$100,F82,Categories!$C$5:$C$100,"Expense")=1),AND(B82="Refund",D82="",E82&lt;&gt;"",F82&lt;&gt;"",COUNTIF(Accounts!$A$5:$A$50,E82)=1,COUNTIFS(Categories!$A$5:$A$100,F82,Categories!$C$5:$C$100,"Expense")=1),AND(B82="Transfer",D82&lt;&gt;"",E82&lt;&gt;"",D82&lt;&gt;E82,F82="",COUNTIF(Accounts!$A$5:$A$50,D82)=1,COUNTIF(Accounts!$A$5:$A$50,E82)=1),AND(B82="Allocation",F82="Savings &amp; Investment",OR(AND(D82&lt;&gt;"",E82="",COUNTIFS(Accounts!$A$5:$A$50,D82,Accounts!$D$5:$D$50,"Asset")=1),AND(D82="",E82&lt;&gt;"",COUNTIFS(Accounts!$A$5:$A$50,E82,Accounts!$D$5:$D$50,"Asset")=1))),AND(B82="Adjustment",F82="",OR(AND(D82&lt;&gt;"",E82="",COUNTIF(Accounts!$A$5:$A$50,D82)=1),AND(D82="",E82&lt;&gt;"",COUNTIF(Accounts!$A$5:$A$50,E82)=1)))),"OK","CHECK: Type / account / category combination")))</f>
        <v/>
      </c>
    </row>
    <row r="83" spans="1:9">
      <c r="A83" s="56"/>
      <c r="C83" s="57"/>
      <c r="I83" s="13" t="str">
        <f>IF(COUNTA(A83:H83)=0,"",IF(OR(A83="",B83="",C83="",C83&lt;=0),"CHECK: Date, Type and positive Amount required",IF(OR(AND(B83="Income",D83="",E83&lt;&gt;"",F83&lt;&gt;"",COUNTIFS(Accounts!$A$5:$A$50,E83,Accounts!$D$5:$D$50,"Asset")=1,COUNTIFS(Categories!$A$5:$A$100,F83,Categories!$C$5:$C$100,"Income")=1),AND(B83="Expense",D83&lt;&gt;"",E83="",F83&lt;&gt;"",COUNTIF(Accounts!$A$5:$A$50,D83)=1,COUNTIFS(Categories!$A$5:$A$100,F83,Categories!$C$5:$C$100,"Expense")=1),AND(B83="Refund",D83="",E83&lt;&gt;"",F83&lt;&gt;"",COUNTIF(Accounts!$A$5:$A$50,E83)=1,COUNTIFS(Categories!$A$5:$A$100,F83,Categories!$C$5:$C$100,"Expense")=1),AND(B83="Transfer",D83&lt;&gt;"",E83&lt;&gt;"",D83&lt;&gt;E83,F83="",COUNTIF(Accounts!$A$5:$A$50,D83)=1,COUNTIF(Accounts!$A$5:$A$50,E83)=1),AND(B83="Allocation",F83="Savings &amp; Investment",OR(AND(D83&lt;&gt;"",E83="",COUNTIFS(Accounts!$A$5:$A$50,D83,Accounts!$D$5:$D$50,"Asset")=1),AND(D83="",E83&lt;&gt;"",COUNTIFS(Accounts!$A$5:$A$50,E83,Accounts!$D$5:$D$50,"Asset")=1))),AND(B83="Adjustment",F83="",OR(AND(D83&lt;&gt;"",E83="",COUNTIF(Accounts!$A$5:$A$50,D83)=1),AND(D83="",E83&lt;&gt;"",COUNTIF(Accounts!$A$5:$A$50,E83)=1)))),"OK","CHECK: Type / account / category combination")))</f>
        <v/>
      </c>
    </row>
    <row r="84" spans="1:9">
      <c r="A84" s="56"/>
      <c r="C84" s="57"/>
      <c r="I84" s="13" t="str">
        <f>IF(COUNTA(A84:H84)=0,"",IF(OR(A84="",B84="",C84="",C84&lt;=0),"CHECK: Date, Type and positive Amount required",IF(OR(AND(B84="Income",D84="",E84&lt;&gt;"",F84&lt;&gt;"",COUNTIFS(Accounts!$A$5:$A$50,E84,Accounts!$D$5:$D$50,"Asset")=1,COUNTIFS(Categories!$A$5:$A$100,F84,Categories!$C$5:$C$100,"Income")=1),AND(B84="Expense",D84&lt;&gt;"",E84="",F84&lt;&gt;"",COUNTIF(Accounts!$A$5:$A$50,D84)=1,COUNTIFS(Categories!$A$5:$A$100,F84,Categories!$C$5:$C$100,"Expense")=1),AND(B84="Refund",D84="",E84&lt;&gt;"",F84&lt;&gt;"",COUNTIF(Accounts!$A$5:$A$50,E84)=1,COUNTIFS(Categories!$A$5:$A$100,F84,Categories!$C$5:$C$100,"Expense")=1),AND(B84="Transfer",D84&lt;&gt;"",E84&lt;&gt;"",D84&lt;&gt;E84,F84="",COUNTIF(Accounts!$A$5:$A$50,D84)=1,COUNTIF(Accounts!$A$5:$A$50,E84)=1),AND(B84="Allocation",F84="Savings &amp; Investment",OR(AND(D84&lt;&gt;"",E84="",COUNTIFS(Accounts!$A$5:$A$50,D84,Accounts!$D$5:$D$50,"Asset")=1),AND(D84="",E84&lt;&gt;"",COUNTIFS(Accounts!$A$5:$A$50,E84,Accounts!$D$5:$D$50,"Asset")=1))),AND(B84="Adjustment",F84="",OR(AND(D84&lt;&gt;"",E84="",COUNTIF(Accounts!$A$5:$A$50,D84)=1),AND(D84="",E84&lt;&gt;"",COUNTIF(Accounts!$A$5:$A$50,E84)=1)))),"OK","CHECK: Type / account / category combination")))</f>
        <v/>
      </c>
    </row>
    <row r="85" spans="1:9">
      <c r="A85" s="56"/>
      <c r="C85" s="57"/>
      <c r="I85" s="13" t="str">
        <f>IF(COUNTA(A85:H85)=0,"",IF(OR(A85="",B85="",C85="",C85&lt;=0),"CHECK: Date, Type and positive Amount required",IF(OR(AND(B85="Income",D85="",E85&lt;&gt;"",F85&lt;&gt;"",COUNTIFS(Accounts!$A$5:$A$50,E85,Accounts!$D$5:$D$50,"Asset")=1,COUNTIFS(Categories!$A$5:$A$100,F85,Categories!$C$5:$C$100,"Income")=1),AND(B85="Expense",D85&lt;&gt;"",E85="",F85&lt;&gt;"",COUNTIF(Accounts!$A$5:$A$50,D85)=1,COUNTIFS(Categories!$A$5:$A$100,F85,Categories!$C$5:$C$100,"Expense")=1),AND(B85="Refund",D85="",E85&lt;&gt;"",F85&lt;&gt;"",COUNTIF(Accounts!$A$5:$A$50,E85)=1,COUNTIFS(Categories!$A$5:$A$100,F85,Categories!$C$5:$C$100,"Expense")=1),AND(B85="Transfer",D85&lt;&gt;"",E85&lt;&gt;"",D85&lt;&gt;E85,F85="",COUNTIF(Accounts!$A$5:$A$50,D85)=1,COUNTIF(Accounts!$A$5:$A$50,E85)=1),AND(B85="Allocation",F85="Savings &amp; Investment",OR(AND(D85&lt;&gt;"",E85="",COUNTIFS(Accounts!$A$5:$A$50,D85,Accounts!$D$5:$D$50,"Asset")=1),AND(D85="",E85&lt;&gt;"",COUNTIFS(Accounts!$A$5:$A$50,E85,Accounts!$D$5:$D$50,"Asset")=1))),AND(B85="Adjustment",F85="",OR(AND(D85&lt;&gt;"",E85="",COUNTIF(Accounts!$A$5:$A$50,D85)=1),AND(D85="",E85&lt;&gt;"",COUNTIF(Accounts!$A$5:$A$50,E85)=1)))),"OK","CHECK: Type / account / category combination")))</f>
        <v/>
      </c>
    </row>
    <row r="86" spans="1:9">
      <c r="A86" s="56"/>
      <c r="C86" s="57"/>
      <c r="I86" s="13" t="str">
        <f>IF(COUNTA(A86:H86)=0,"",IF(OR(A86="",B86="",C86="",C86&lt;=0),"CHECK: Date, Type and positive Amount required",IF(OR(AND(B86="Income",D86="",E86&lt;&gt;"",F86&lt;&gt;"",COUNTIFS(Accounts!$A$5:$A$50,E86,Accounts!$D$5:$D$50,"Asset")=1,COUNTIFS(Categories!$A$5:$A$100,F86,Categories!$C$5:$C$100,"Income")=1),AND(B86="Expense",D86&lt;&gt;"",E86="",F86&lt;&gt;"",COUNTIF(Accounts!$A$5:$A$50,D86)=1,COUNTIFS(Categories!$A$5:$A$100,F86,Categories!$C$5:$C$100,"Expense")=1),AND(B86="Refund",D86="",E86&lt;&gt;"",F86&lt;&gt;"",COUNTIF(Accounts!$A$5:$A$50,E86)=1,COUNTIFS(Categories!$A$5:$A$100,F86,Categories!$C$5:$C$100,"Expense")=1),AND(B86="Transfer",D86&lt;&gt;"",E86&lt;&gt;"",D86&lt;&gt;E86,F86="",COUNTIF(Accounts!$A$5:$A$50,D86)=1,COUNTIF(Accounts!$A$5:$A$50,E86)=1),AND(B86="Allocation",F86="Savings &amp; Investment",OR(AND(D86&lt;&gt;"",E86="",COUNTIFS(Accounts!$A$5:$A$50,D86,Accounts!$D$5:$D$50,"Asset")=1),AND(D86="",E86&lt;&gt;"",COUNTIFS(Accounts!$A$5:$A$50,E86,Accounts!$D$5:$D$50,"Asset")=1))),AND(B86="Adjustment",F86="",OR(AND(D86&lt;&gt;"",E86="",COUNTIF(Accounts!$A$5:$A$50,D86)=1),AND(D86="",E86&lt;&gt;"",COUNTIF(Accounts!$A$5:$A$50,E86)=1)))),"OK","CHECK: Type / account / category combination")))</f>
        <v/>
      </c>
    </row>
    <row r="87" spans="1:9">
      <c r="A87" s="56"/>
      <c r="C87" s="57"/>
      <c r="I87" s="13" t="str">
        <f>IF(COUNTA(A87:H87)=0,"",IF(OR(A87="",B87="",C87="",C87&lt;=0),"CHECK: Date, Type and positive Amount required",IF(OR(AND(B87="Income",D87="",E87&lt;&gt;"",F87&lt;&gt;"",COUNTIFS(Accounts!$A$5:$A$50,E87,Accounts!$D$5:$D$50,"Asset")=1,COUNTIFS(Categories!$A$5:$A$100,F87,Categories!$C$5:$C$100,"Income")=1),AND(B87="Expense",D87&lt;&gt;"",E87="",F87&lt;&gt;"",COUNTIF(Accounts!$A$5:$A$50,D87)=1,COUNTIFS(Categories!$A$5:$A$100,F87,Categories!$C$5:$C$100,"Expense")=1),AND(B87="Refund",D87="",E87&lt;&gt;"",F87&lt;&gt;"",COUNTIF(Accounts!$A$5:$A$50,E87)=1,COUNTIFS(Categories!$A$5:$A$100,F87,Categories!$C$5:$C$100,"Expense")=1),AND(B87="Transfer",D87&lt;&gt;"",E87&lt;&gt;"",D87&lt;&gt;E87,F87="",COUNTIF(Accounts!$A$5:$A$50,D87)=1,COUNTIF(Accounts!$A$5:$A$50,E87)=1),AND(B87="Allocation",F87="Savings &amp; Investment",OR(AND(D87&lt;&gt;"",E87="",COUNTIFS(Accounts!$A$5:$A$50,D87,Accounts!$D$5:$D$50,"Asset")=1),AND(D87="",E87&lt;&gt;"",COUNTIFS(Accounts!$A$5:$A$50,E87,Accounts!$D$5:$D$50,"Asset")=1))),AND(B87="Adjustment",F87="",OR(AND(D87&lt;&gt;"",E87="",COUNTIF(Accounts!$A$5:$A$50,D87)=1),AND(D87="",E87&lt;&gt;"",COUNTIF(Accounts!$A$5:$A$50,E87)=1)))),"OK","CHECK: Type / account / category combination")))</f>
        <v/>
      </c>
    </row>
    <row r="88" spans="1:9">
      <c r="A88" s="56"/>
      <c r="C88" s="57"/>
      <c r="I88" s="13" t="str">
        <f>IF(COUNTA(A88:H88)=0,"",IF(OR(A88="",B88="",C88="",C88&lt;=0),"CHECK: Date, Type and positive Amount required",IF(OR(AND(B88="Income",D88="",E88&lt;&gt;"",F88&lt;&gt;"",COUNTIFS(Accounts!$A$5:$A$50,E88,Accounts!$D$5:$D$50,"Asset")=1,COUNTIFS(Categories!$A$5:$A$100,F88,Categories!$C$5:$C$100,"Income")=1),AND(B88="Expense",D88&lt;&gt;"",E88="",F88&lt;&gt;"",COUNTIF(Accounts!$A$5:$A$50,D88)=1,COUNTIFS(Categories!$A$5:$A$100,F88,Categories!$C$5:$C$100,"Expense")=1),AND(B88="Refund",D88="",E88&lt;&gt;"",F88&lt;&gt;"",COUNTIF(Accounts!$A$5:$A$50,E88)=1,COUNTIFS(Categories!$A$5:$A$100,F88,Categories!$C$5:$C$100,"Expense")=1),AND(B88="Transfer",D88&lt;&gt;"",E88&lt;&gt;"",D88&lt;&gt;E88,F88="",COUNTIF(Accounts!$A$5:$A$50,D88)=1,COUNTIF(Accounts!$A$5:$A$50,E88)=1),AND(B88="Allocation",F88="Savings &amp; Investment",OR(AND(D88&lt;&gt;"",E88="",COUNTIFS(Accounts!$A$5:$A$50,D88,Accounts!$D$5:$D$50,"Asset")=1),AND(D88="",E88&lt;&gt;"",COUNTIFS(Accounts!$A$5:$A$50,E88,Accounts!$D$5:$D$50,"Asset")=1))),AND(B88="Adjustment",F88="",OR(AND(D88&lt;&gt;"",E88="",COUNTIF(Accounts!$A$5:$A$50,D88)=1),AND(D88="",E88&lt;&gt;"",COUNTIF(Accounts!$A$5:$A$50,E88)=1)))),"OK","CHECK: Type / account / category combination")))</f>
        <v/>
      </c>
    </row>
    <row r="89" spans="1:9">
      <c r="A89" s="56"/>
      <c r="C89" s="57"/>
      <c r="I89" s="13" t="str">
        <f>IF(COUNTA(A89:H89)=0,"",IF(OR(A89="",B89="",C89="",C89&lt;=0),"CHECK: Date, Type and positive Amount required",IF(OR(AND(B89="Income",D89="",E89&lt;&gt;"",F89&lt;&gt;"",COUNTIFS(Accounts!$A$5:$A$50,E89,Accounts!$D$5:$D$50,"Asset")=1,COUNTIFS(Categories!$A$5:$A$100,F89,Categories!$C$5:$C$100,"Income")=1),AND(B89="Expense",D89&lt;&gt;"",E89="",F89&lt;&gt;"",COUNTIF(Accounts!$A$5:$A$50,D89)=1,COUNTIFS(Categories!$A$5:$A$100,F89,Categories!$C$5:$C$100,"Expense")=1),AND(B89="Refund",D89="",E89&lt;&gt;"",F89&lt;&gt;"",COUNTIF(Accounts!$A$5:$A$50,E89)=1,COUNTIFS(Categories!$A$5:$A$100,F89,Categories!$C$5:$C$100,"Expense")=1),AND(B89="Transfer",D89&lt;&gt;"",E89&lt;&gt;"",D89&lt;&gt;E89,F89="",COUNTIF(Accounts!$A$5:$A$50,D89)=1,COUNTIF(Accounts!$A$5:$A$50,E89)=1),AND(B89="Allocation",F89="Savings &amp; Investment",OR(AND(D89&lt;&gt;"",E89="",COUNTIFS(Accounts!$A$5:$A$50,D89,Accounts!$D$5:$D$50,"Asset")=1),AND(D89="",E89&lt;&gt;"",COUNTIFS(Accounts!$A$5:$A$50,E89,Accounts!$D$5:$D$50,"Asset")=1))),AND(B89="Adjustment",F89="",OR(AND(D89&lt;&gt;"",E89="",COUNTIF(Accounts!$A$5:$A$50,D89)=1),AND(D89="",E89&lt;&gt;"",COUNTIF(Accounts!$A$5:$A$50,E89)=1)))),"OK","CHECK: Type / account / category combination")))</f>
        <v/>
      </c>
    </row>
    <row r="90" spans="1:9">
      <c r="A90" s="56"/>
      <c r="C90" s="57"/>
      <c r="I90" s="13" t="str">
        <f>IF(COUNTA(A90:H90)=0,"",IF(OR(A90="",B90="",C90="",C90&lt;=0),"CHECK: Date, Type and positive Amount required",IF(OR(AND(B90="Income",D90="",E90&lt;&gt;"",F90&lt;&gt;"",COUNTIFS(Accounts!$A$5:$A$50,E90,Accounts!$D$5:$D$50,"Asset")=1,COUNTIFS(Categories!$A$5:$A$100,F90,Categories!$C$5:$C$100,"Income")=1),AND(B90="Expense",D90&lt;&gt;"",E90="",F90&lt;&gt;"",COUNTIF(Accounts!$A$5:$A$50,D90)=1,COUNTIFS(Categories!$A$5:$A$100,F90,Categories!$C$5:$C$100,"Expense")=1),AND(B90="Refund",D90="",E90&lt;&gt;"",F90&lt;&gt;"",COUNTIF(Accounts!$A$5:$A$50,E90)=1,COUNTIFS(Categories!$A$5:$A$100,F90,Categories!$C$5:$C$100,"Expense")=1),AND(B90="Transfer",D90&lt;&gt;"",E90&lt;&gt;"",D90&lt;&gt;E90,F90="",COUNTIF(Accounts!$A$5:$A$50,D90)=1,COUNTIF(Accounts!$A$5:$A$50,E90)=1),AND(B90="Allocation",F90="Savings &amp; Investment",OR(AND(D90&lt;&gt;"",E90="",COUNTIFS(Accounts!$A$5:$A$50,D90,Accounts!$D$5:$D$50,"Asset")=1),AND(D90="",E90&lt;&gt;"",COUNTIFS(Accounts!$A$5:$A$50,E90,Accounts!$D$5:$D$50,"Asset")=1))),AND(B90="Adjustment",F90="",OR(AND(D90&lt;&gt;"",E90="",COUNTIF(Accounts!$A$5:$A$50,D90)=1),AND(D90="",E90&lt;&gt;"",COUNTIF(Accounts!$A$5:$A$50,E90)=1)))),"OK","CHECK: Type / account / category combination")))</f>
        <v/>
      </c>
    </row>
    <row r="91" spans="1:9">
      <c r="A91" s="56"/>
      <c r="C91" s="57"/>
      <c r="I91" s="13" t="str">
        <f>IF(COUNTA(A91:H91)=0,"",IF(OR(A91="",B91="",C91="",C91&lt;=0),"CHECK: Date, Type and positive Amount required",IF(OR(AND(B91="Income",D91="",E91&lt;&gt;"",F91&lt;&gt;"",COUNTIFS(Accounts!$A$5:$A$50,E91,Accounts!$D$5:$D$50,"Asset")=1,COUNTIFS(Categories!$A$5:$A$100,F91,Categories!$C$5:$C$100,"Income")=1),AND(B91="Expense",D91&lt;&gt;"",E91="",F91&lt;&gt;"",COUNTIF(Accounts!$A$5:$A$50,D91)=1,COUNTIFS(Categories!$A$5:$A$100,F91,Categories!$C$5:$C$100,"Expense")=1),AND(B91="Refund",D91="",E91&lt;&gt;"",F91&lt;&gt;"",COUNTIF(Accounts!$A$5:$A$50,E91)=1,COUNTIFS(Categories!$A$5:$A$100,F91,Categories!$C$5:$C$100,"Expense")=1),AND(B91="Transfer",D91&lt;&gt;"",E91&lt;&gt;"",D91&lt;&gt;E91,F91="",COUNTIF(Accounts!$A$5:$A$50,D91)=1,COUNTIF(Accounts!$A$5:$A$50,E91)=1),AND(B91="Allocation",F91="Savings &amp; Investment",OR(AND(D91&lt;&gt;"",E91="",COUNTIFS(Accounts!$A$5:$A$50,D91,Accounts!$D$5:$D$50,"Asset")=1),AND(D91="",E91&lt;&gt;"",COUNTIFS(Accounts!$A$5:$A$50,E91,Accounts!$D$5:$D$50,"Asset")=1))),AND(B91="Adjustment",F91="",OR(AND(D91&lt;&gt;"",E91="",COUNTIF(Accounts!$A$5:$A$50,D91)=1),AND(D91="",E91&lt;&gt;"",COUNTIF(Accounts!$A$5:$A$50,E91)=1)))),"OK","CHECK: Type / account / category combination")))</f>
        <v/>
      </c>
    </row>
    <row r="92" spans="1:9">
      <c r="A92" s="56"/>
      <c r="C92" s="57"/>
      <c r="I92" s="13" t="str">
        <f>IF(COUNTA(A92:H92)=0,"",IF(OR(A92="",B92="",C92="",C92&lt;=0),"CHECK: Date, Type and positive Amount required",IF(OR(AND(B92="Income",D92="",E92&lt;&gt;"",F92&lt;&gt;"",COUNTIFS(Accounts!$A$5:$A$50,E92,Accounts!$D$5:$D$50,"Asset")=1,COUNTIFS(Categories!$A$5:$A$100,F92,Categories!$C$5:$C$100,"Income")=1),AND(B92="Expense",D92&lt;&gt;"",E92="",F92&lt;&gt;"",COUNTIF(Accounts!$A$5:$A$50,D92)=1,COUNTIFS(Categories!$A$5:$A$100,F92,Categories!$C$5:$C$100,"Expense")=1),AND(B92="Refund",D92="",E92&lt;&gt;"",F92&lt;&gt;"",COUNTIF(Accounts!$A$5:$A$50,E92)=1,COUNTIFS(Categories!$A$5:$A$100,F92,Categories!$C$5:$C$100,"Expense")=1),AND(B92="Transfer",D92&lt;&gt;"",E92&lt;&gt;"",D92&lt;&gt;E92,F92="",COUNTIF(Accounts!$A$5:$A$50,D92)=1,COUNTIF(Accounts!$A$5:$A$50,E92)=1),AND(B92="Allocation",F92="Savings &amp; Investment",OR(AND(D92&lt;&gt;"",E92="",COUNTIFS(Accounts!$A$5:$A$50,D92,Accounts!$D$5:$D$50,"Asset")=1),AND(D92="",E92&lt;&gt;"",COUNTIFS(Accounts!$A$5:$A$50,E92,Accounts!$D$5:$D$50,"Asset")=1))),AND(B92="Adjustment",F92="",OR(AND(D92&lt;&gt;"",E92="",COUNTIF(Accounts!$A$5:$A$50,D92)=1),AND(D92="",E92&lt;&gt;"",COUNTIF(Accounts!$A$5:$A$50,E92)=1)))),"OK","CHECK: Type / account / category combination")))</f>
        <v/>
      </c>
    </row>
    <row r="93" spans="1:9">
      <c r="A93" s="56"/>
      <c r="C93" s="57"/>
      <c r="I93" s="13" t="str">
        <f>IF(COUNTA(A93:H93)=0,"",IF(OR(A93="",B93="",C93="",C93&lt;=0),"CHECK: Date, Type and positive Amount required",IF(OR(AND(B93="Income",D93="",E93&lt;&gt;"",F93&lt;&gt;"",COUNTIFS(Accounts!$A$5:$A$50,E93,Accounts!$D$5:$D$50,"Asset")=1,COUNTIFS(Categories!$A$5:$A$100,F93,Categories!$C$5:$C$100,"Income")=1),AND(B93="Expense",D93&lt;&gt;"",E93="",F93&lt;&gt;"",COUNTIF(Accounts!$A$5:$A$50,D93)=1,COUNTIFS(Categories!$A$5:$A$100,F93,Categories!$C$5:$C$100,"Expense")=1),AND(B93="Refund",D93="",E93&lt;&gt;"",F93&lt;&gt;"",COUNTIF(Accounts!$A$5:$A$50,E93)=1,COUNTIFS(Categories!$A$5:$A$100,F93,Categories!$C$5:$C$100,"Expense")=1),AND(B93="Transfer",D93&lt;&gt;"",E93&lt;&gt;"",D93&lt;&gt;E93,F93="",COUNTIF(Accounts!$A$5:$A$50,D93)=1,COUNTIF(Accounts!$A$5:$A$50,E93)=1),AND(B93="Allocation",F93="Savings &amp; Investment",OR(AND(D93&lt;&gt;"",E93="",COUNTIFS(Accounts!$A$5:$A$50,D93,Accounts!$D$5:$D$50,"Asset")=1),AND(D93="",E93&lt;&gt;"",COUNTIFS(Accounts!$A$5:$A$50,E93,Accounts!$D$5:$D$50,"Asset")=1))),AND(B93="Adjustment",F93="",OR(AND(D93&lt;&gt;"",E93="",COUNTIF(Accounts!$A$5:$A$50,D93)=1),AND(D93="",E93&lt;&gt;"",COUNTIF(Accounts!$A$5:$A$50,E93)=1)))),"OK","CHECK: Type / account / category combination")))</f>
        <v/>
      </c>
    </row>
    <row r="94" spans="1:9">
      <c r="A94" s="56"/>
      <c r="C94" s="57"/>
      <c r="I94" s="13" t="str">
        <f>IF(COUNTA(A94:H94)=0,"",IF(OR(A94="",B94="",C94="",C94&lt;=0),"CHECK: Date, Type and positive Amount required",IF(OR(AND(B94="Income",D94="",E94&lt;&gt;"",F94&lt;&gt;"",COUNTIFS(Accounts!$A$5:$A$50,E94,Accounts!$D$5:$D$50,"Asset")=1,COUNTIFS(Categories!$A$5:$A$100,F94,Categories!$C$5:$C$100,"Income")=1),AND(B94="Expense",D94&lt;&gt;"",E94="",F94&lt;&gt;"",COUNTIF(Accounts!$A$5:$A$50,D94)=1,COUNTIFS(Categories!$A$5:$A$100,F94,Categories!$C$5:$C$100,"Expense")=1),AND(B94="Refund",D94="",E94&lt;&gt;"",F94&lt;&gt;"",COUNTIF(Accounts!$A$5:$A$50,E94)=1,COUNTIFS(Categories!$A$5:$A$100,F94,Categories!$C$5:$C$100,"Expense")=1),AND(B94="Transfer",D94&lt;&gt;"",E94&lt;&gt;"",D94&lt;&gt;E94,F94="",COUNTIF(Accounts!$A$5:$A$50,D94)=1,COUNTIF(Accounts!$A$5:$A$50,E94)=1),AND(B94="Allocation",F94="Savings &amp; Investment",OR(AND(D94&lt;&gt;"",E94="",COUNTIFS(Accounts!$A$5:$A$50,D94,Accounts!$D$5:$D$50,"Asset")=1),AND(D94="",E94&lt;&gt;"",COUNTIFS(Accounts!$A$5:$A$50,E94,Accounts!$D$5:$D$50,"Asset")=1))),AND(B94="Adjustment",F94="",OR(AND(D94&lt;&gt;"",E94="",COUNTIF(Accounts!$A$5:$A$50,D94)=1),AND(D94="",E94&lt;&gt;"",COUNTIF(Accounts!$A$5:$A$50,E94)=1)))),"OK","CHECK: Type / account / category combination")))</f>
        <v/>
      </c>
    </row>
    <row r="95" spans="1:9">
      <c r="A95" s="56"/>
      <c r="C95" s="57"/>
      <c r="I95" s="13" t="str">
        <f>IF(COUNTA(A95:H95)=0,"",IF(OR(A95="",B95="",C95="",C95&lt;=0),"CHECK: Date, Type and positive Amount required",IF(OR(AND(B95="Income",D95="",E95&lt;&gt;"",F95&lt;&gt;"",COUNTIFS(Accounts!$A$5:$A$50,E95,Accounts!$D$5:$D$50,"Asset")=1,COUNTIFS(Categories!$A$5:$A$100,F95,Categories!$C$5:$C$100,"Income")=1),AND(B95="Expense",D95&lt;&gt;"",E95="",F95&lt;&gt;"",COUNTIF(Accounts!$A$5:$A$50,D95)=1,COUNTIFS(Categories!$A$5:$A$100,F95,Categories!$C$5:$C$100,"Expense")=1),AND(B95="Refund",D95="",E95&lt;&gt;"",F95&lt;&gt;"",COUNTIF(Accounts!$A$5:$A$50,E95)=1,COUNTIFS(Categories!$A$5:$A$100,F95,Categories!$C$5:$C$100,"Expense")=1),AND(B95="Transfer",D95&lt;&gt;"",E95&lt;&gt;"",D95&lt;&gt;E95,F95="",COUNTIF(Accounts!$A$5:$A$50,D95)=1,COUNTIF(Accounts!$A$5:$A$50,E95)=1),AND(B95="Allocation",F95="Savings &amp; Investment",OR(AND(D95&lt;&gt;"",E95="",COUNTIFS(Accounts!$A$5:$A$50,D95,Accounts!$D$5:$D$50,"Asset")=1),AND(D95="",E95&lt;&gt;"",COUNTIFS(Accounts!$A$5:$A$50,E95,Accounts!$D$5:$D$50,"Asset")=1))),AND(B95="Adjustment",F95="",OR(AND(D95&lt;&gt;"",E95="",COUNTIF(Accounts!$A$5:$A$50,D95)=1),AND(D95="",E95&lt;&gt;"",COUNTIF(Accounts!$A$5:$A$50,E95)=1)))),"OK","CHECK: Type / account / category combination")))</f>
        <v/>
      </c>
    </row>
    <row r="96" spans="1:9">
      <c r="A96" s="56"/>
      <c r="C96" s="57"/>
      <c r="I96" s="13" t="str">
        <f>IF(COUNTA(A96:H96)=0,"",IF(OR(A96="",B96="",C96="",C96&lt;=0),"CHECK: Date, Type and positive Amount required",IF(OR(AND(B96="Income",D96="",E96&lt;&gt;"",F96&lt;&gt;"",COUNTIFS(Accounts!$A$5:$A$50,E96,Accounts!$D$5:$D$50,"Asset")=1,COUNTIFS(Categories!$A$5:$A$100,F96,Categories!$C$5:$C$100,"Income")=1),AND(B96="Expense",D96&lt;&gt;"",E96="",F96&lt;&gt;"",COUNTIF(Accounts!$A$5:$A$50,D96)=1,COUNTIFS(Categories!$A$5:$A$100,F96,Categories!$C$5:$C$100,"Expense")=1),AND(B96="Refund",D96="",E96&lt;&gt;"",F96&lt;&gt;"",COUNTIF(Accounts!$A$5:$A$50,E96)=1,COUNTIFS(Categories!$A$5:$A$100,F96,Categories!$C$5:$C$100,"Expense")=1),AND(B96="Transfer",D96&lt;&gt;"",E96&lt;&gt;"",D96&lt;&gt;E96,F96="",COUNTIF(Accounts!$A$5:$A$50,D96)=1,COUNTIF(Accounts!$A$5:$A$50,E96)=1),AND(B96="Allocation",F96="Savings &amp; Investment",OR(AND(D96&lt;&gt;"",E96="",COUNTIFS(Accounts!$A$5:$A$50,D96,Accounts!$D$5:$D$50,"Asset")=1),AND(D96="",E96&lt;&gt;"",COUNTIFS(Accounts!$A$5:$A$50,E96,Accounts!$D$5:$D$50,"Asset")=1))),AND(B96="Adjustment",F96="",OR(AND(D96&lt;&gt;"",E96="",COUNTIF(Accounts!$A$5:$A$50,D96)=1),AND(D96="",E96&lt;&gt;"",COUNTIF(Accounts!$A$5:$A$50,E96)=1)))),"OK","CHECK: Type / account / category combination")))</f>
        <v/>
      </c>
    </row>
    <row r="97" spans="1:9">
      <c r="A97" s="56"/>
      <c r="C97" s="57"/>
      <c r="I97" s="13" t="str">
        <f>IF(COUNTA(A97:H97)=0,"",IF(OR(A97="",B97="",C97="",C97&lt;=0),"CHECK: Date, Type and positive Amount required",IF(OR(AND(B97="Income",D97="",E97&lt;&gt;"",F97&lt;&gt;"",COUNTIFS(Accounts!$A$5:$A$50,E97,Accounts!$D$5:$D$50,"Asset")=1,COUNTIFS(Categories!$A$5:$A$100,F97,Categories!$C$5:$C$100,"Income")=1),AND(B97="Expense",D97&lt;&gt;"",E97="",F97&lt;&gt;"",COUNTIF(Accounts!$A$5:$A$50,D97)=1,COUNTIFS(Categories!$A$5:$A$100,F97,Categories!$C$5:$C$100,"Expense")=1),AND(B97="Refund",D97="",E97&lt;&gt;"",F97&lt;&gt;"",COUNTIF(Accounts!$A$5:$A$50,E97)=1,COUNTIFS(Categories!$A$5:$A$100,F97,Categories!$C$5:$C$100,"Expense")=1),AND(B97="Transfer",D97&lt;&gt;"",E97&lt;&gt;"",D97&lt;&gt;E97,F97="",COUNTIF(Accounts!$A$5:$A$50,D97)=1,COUNTIF(Accounts!$A$5:$A$50,E97)=1),AND(B97="Allocation",F97="Savings &amp; Investment",OR(AND(D97&lt;&gt;"",E97="",COUNTIFS(Accounts!$A$5:$A$50,D97,Accounts!$D$5:$D$50,"Asset")=1),AND(D97="",E97&lt;&gt;"",COUNTIFS(Accounts!$A$5:$A$50,E97,Accounts!$D$5:$D$50,"Asset")=1))),AND(B97="Adjustment",F97="",OR(AND(D97&lt;&gt;"",E97="",COUNTIF(Accounts!$A$5:$A$50,D97)=1),AND(D97="",E97&lt;&gt;"",COUNTIF(Accounts!$A$5:$A$50,E97)=1)))),"OK","CHECK: Type / account / category combination")))</f>
        <v/>
      </c>
    </row>
    <row r="98" spans="1:9">
      <c r="A98" s="56"/>
      <c r="C98" s="57"/>
      <c r="I98" s="13" t="str">
        <f>IF(COUNTA(A98:H98)=0,"",IF(OR(A98="",B98="",C98="",C98&lt;=0),"CHECK: Date, Type and positive Amount required",IF(OR(AND(B98="Income",D98="",E98&lt;&gt;"",F98&lt;&gt;"",COUNTIFS(Accounts!$A$5:$A$50,E98,Accounts!$D$5:$D$50,"Asset")=1,COUNTIFS(Categories!$A$5:$A$100,F98,Categories!$C$5:$C$100,"Income")=1),AND(B98="Expense",D98&lt;&gt;"",E98="",F98&lt;&gt;"",COUNTIF(Accounts!$A$5:$A$50,D98)=1,COUNTIFS(Categories!$A$5:$A$100,F98,Categories!$C$5:$C$100,"Expense")=1),AND(B98="Refund",D98="",E98&lt;&gt;"",F98&lt;&gt;"",COUNTIF(Accounts!$A$5:$A$50,E98)=1,COUNTIFS(Categories!$A$5:$A$100,F98,Categories!$C$5:$C$100,"Expense")=1),AND(B98="Transfer",D98&lt;&gt;"",E98&lt;&gt;"",D98&lt;&gt;E98,F98="",COUNTIF(Accounts!$A$5:$A$50,D98)=1,COUNTIF(Accounts!$A$5:$A$50,E98)=1),AND(B98="Allocation",F98="Savings &amp; Investment",OR(AND(D98&lt;&gt;"",E98="",COUNTIFS(Accounts!$A$5:$A$50,D98,Accounts!$D$5:$D$50,"Asset")=1),AND(D98="",E98&lt;&gt;"",COUNTIFS(Accounts!$A$5:$A$50,E98,Accounts!$D$5:$D$50,"Asset")=1))),AND(B98="Adjustment",F98="",OR(AND(D98&lt;&gt;"",E98="",COUNTIF(Accounts!$A$5:$A$50,D98)=1),AND(D98="",E98&lt;&gt;"",COUNTIF(Accounts!$A$5:$A$50,E98)=1)))),"OK","CHECK: Type / account / category combination")))</f>
        <v/>
      </c>
    </row>
    <row r="99" spans="1:9">
      <c r="A99" s="56"/>
      <c r="C99" s="57"/>
      <c r="I99" s="13" t="str">
        <f>IF(COUNTA(A99:H99)=0,"",IF(OR(A99="",B99="",C99="",C99&lt;=0),"CHECK: Date, Type and positive Amount required",IF(OR(AND(B99="Income",D99="",E99&lt;&gt;"",F99&lt;&gt;"",COUNTIFS(Accounts!$A$5:$A$50,E99,Accounts!$D$5:$D$50,"Asset")=1,COUNTIFS(Categories!$A$5:$A$100,F99,Categories!$C$5:$C$100,"Income")=1),AND(B99="Expense",D99&lt;&gt;"",E99="",F99&lt;&gt;"",COUNTIF(Accounts!$A$5:$A$50,D99)=1,COUNTIFS(Categories!$A$5:$A$100,F99,Categories!$C$5:$C$100,"Expense")=1),AND(B99="Refund",D99="",E99&lt;&gt;"",F99&lt;&gt;"",COUNTIF(Accounts!$A$5:$A$50,E99)=1,COUNTIFS(Categories!$A$5:$A$100,F99,Categories!$C$5:$C$100,"Expense")=1),AND(B99="Transfer",D99&lt;&gt;"",E99&lt;&gt;"",D99&lt;&gt;E99,F99="",COUNTIF(Accounts!$A$5:$A$50,D99)=1,COUNTIF(Accounts!$A$5:$A$50,E99)=1),AND(B99="Allocation",F99="Savings &amp; Investment",OR(AND(D99&lt;&gt;"",E99="",COUNTIFS(Accounts!$A$5:$A$50,D99,Accounts!$D$5:$D$50,"Asset")=1),AND(D99="",E99&lt;&gt;"",COUNTIFS(Accounts!$A$5:$A$50,E99,Accounts!$D$5:$D$50,"Asset")=1))),AND(B99="Adjustment",F99="",OR(AND(D99&lt;&gt;"",E99="",COUNTIF(Accounts!$A$5:$A$50,D99)=1),AND(D99="",E99&lt;&gt;"",COUNTIF(Accounts!$A$5:$A$50,E99)=1)))),"OK","CHECK: Type / account / category combination")))</f>
        <v/>
      </c>
    </row>
    <row r="100" spans="1:9">
      <c r="A100" s="56"/>
      <c r="C100" s="57"/>
      <c r="I100" s="13" t="str">
        <f>IF(COUNTA(A100:H100)=0,"",IF(OR(A100="",B100="",C100="",C100&lt;=0),"CHECK: Date, Type and positive Amount required",IF(OR(AND(B100="Income",D100="",E100&lt;&gt;"",F100&lt;&gt;"",COUNTIFS(Accounts!$A$5:$A$50,E100,Accounts!$D$5:$D$50,"Asset")=1,COUNTIFS(Categories!$A$5:$A$100,F100,Categories!$C$5:$C$100,"Income")=1),AND(B100="Expense",D100&lt;&gt;"",E100="",F100&lt;&gt;"",COUNTIF(Accounts!$A$5:$A$50,D100)=1,COUNTIFS(Categories!$A$5:$A$100,F100,Categories!$C$5:$C$100,"Expense")=1),AND(B100="Refund",D100="",E100&lt;&gt;"",F100&lt;&gt;"",COUNTIF(Accounts!$A$5:$A$50,E100)=1,COUNTIFS(Categories!$A$5:$A$100,F100,Categories!$C$5:$C$100,"Expense")=1),AND(B100="Transfer",D100&lt;&gt;"",E100&lt;&gt;"",D100&lt;&gt;E100,F100="",COUNTIF(Accounts!$A$5:$A$50,D100)=1,COUNTIF(Accounts!$A$5:$A$50,E100)=1),AND(B100="Allocation",F100="Savings &amp; Investment",OR(AND(D100&lt;&gt;"",E100="",COUNTIFS(Accounts!$A$5:$A$50,D100,Accounts!$D$5:$D$50,"Asset")=1),AND(D100="",E100&lt;&gt;"",COUNTIFS(Accounts!$A$5:$A$50,E100,Accounts!$D$5:$D$50,"Asset")=1))),AND(B100="Adjustment",F100="",OR(AND(D100&lt;&gt;"",E100="",COUNTIF(Accounts!$A$5:$A$50,D100)=1),AND(D100="",E100&lt;&gt;"",COUNTIF(Accounts!$A$5:$A$50,E100)=1)))),"OK","CHECK: Type / account / category combination")))</f>
        <v/>
      </c>
    </row>
    <row r="101" spans="1:9">
      <c r="A101" s="56"/>
      <c r="C101" s="57"/>
      <c r="I101" s="13" t="str">
        <f>IF(COUNTA(A101:H101)=0,"",IF(OR(A101="",B101="",C101="",C101&lt;=0),"CHECK: Date, Type and positive Amount required",IF(OR(AND(B101="Income",D101="",E101&lt;&gt;"",F101&lt;&gt;"",COUNTIFS(Accounts!$A$5:$A$50,E101,Accounts!$D$5:$D$50,"Asset")=1,COUNTIFS(Categories!$A$5:$A$100,F101,Categories!$C$5:$C$100,"Income")=1),AND(B101="Expense",D101&lt;&gt;"",E101="",F101&lt;&gt;"",COUNTIF(Accounts!$A$5:$A$50,D101)=1,COUNTIFS(Categories!$A$5:$A$100,F101,Categories!$C$5:$C$100,"Expense")=1),AND(B101="Refund",D101="",E101&lt;&gt;"",F101&lt;&gt;"",COUNTIF(Accounts!$A$5:$A$50,E101)=1,COUNTIFS(Categories!$A$5:$A$100,F101,Categories!$C$5:$C$100,"Expense")=1),AND(B101="Transfer",D101&lt;&gt;"",E101&lt;&gt;"",D101&lt;&gt;E101,F101="",COUNTIF(Accounts!$A$5:$A$50,D101)=1,COUNTIF(Accounts!$A$5:$A$50,E101)=1),AND(B101="Allocation",F101="Savings &amp; Investment",OR(AND(D101&lt;&gt;"",E101="",COUNTIFS(Accounts!$A$5:$A$50,D101,Accounts!$D$5:$D$50,"Asset")=1),AND(D101="",E101&lt;&gt;"",COUNTIFS(Accounts!$A$5:$A$50,E101,Accounts!$D$5:$D$50,"Asset")=1))),AND(B101="Adjustment",F101="",OR(AND(D101&lt;&gt;"",E101="",COUNTIF(Accounts!$A$5:$A$50,D101)=1),AND(D101="",E101&lt;&gt;"",COUNTIF(Accounts!$A$5:$A$50,E101)=1)))),"OK","CHECK: Type / account / category combination")))</f>
        <v/>
      </c>
    </row>
    <row r="102" spans="1:9">
      <c r="A102" s="56"/>
      <c r="C102" s="57"/>
      <c r="I102" s="13" t="str">
        <f>IF(COUNTA(A102:H102)=0,"",IF(OR(A102="",B102="",C102="",C102&lt;=0),"CHECK: Date, Type and positive Amount required",IF(OR(AND(B102="Income",D102="",E102&lt;&gt;"",F102&lt;&gt;"",COUNTIFS(Accounts!$A$5:$A$50,E102,Accounts!$D$5:$D$50,"Asset")=1,COUNTIFS(Categories!$A$5:$A$100,F102,Categories!$C$5:$C$100,"Income")=1),AND(B102="Expense",D102&lt;&gt;"",E102="",F102&lt;&gt;"",COUNTIF(Accounts!$A$5:$A$50,D102)=1,COUNTIFS(Categories!$A$5:$A$100,F102,Categories!$C$5:$C$100,"Expense")=1),AND(B102="Refund",D102="",E102&lt;&gt;"",F102&lt;&gt;"",COUNTIF(Accounts!$A$5:$A$50,E102)=1,COUNTIFS(Categories!$A$5:$A$100,F102,Categories!$C$5:$C$100,"Expense")=1),AND(B102="Transfer",D102&lt;&gt;"",E102&lt;&gt;"",D102&lt;&gt;E102,F102="",COUNTIF(Accounts!$A$5:$A$50,D102)=1,COUNTIF(Accounts!$A$5:$A$50,E102)=1),AND(B102="Allocation",F102="Savings &amp; Investment",OR(AND(D102&lt;&gt;"",E102="",COUNTIFS(Accounts!$A$5:$A$50,D102,Accounts!$D$5:$D$50,"Asset")=1),AND(D102="",E102&lt;&gt;"",COUNTIFS(Accounts!$A$5:$A$50,E102,Accounts!$D$5:$D$50,"Asset")=1))),AND(B102="Adjustment",F102="",OR(AND(D102&lt;&gt;"",E102="",COUNTIF(Accounts!$A$5:$A$50,D102)=1),AND(D102="",E102&lt;&gt;"",COUNTIF(Accounts!$A$5:$A$50,E102)=1)))),"OK","CHECK: Type / account / category combination")))</f>
        <v/>
      </c>
    </row>
    <row r="103" spans="1:9">
      <c r="A103" s="56"/>
      <c r="C103" s="57"/>
      <c r="I103" s="13" t="str">
        <f>IF(COUNTA(A103:H103)=0,"",IF(OR(A103="",B103="",C103="",C103&lt;=0),"CHECK: Date, Type and positive Amount required",IF(OR(AND(B103="Income",D103="",E103&lt;&gt;"",F103&lt;&gt;"",COUNTIFS(Accounts!$A$5:$A$50,E103,Accounts!$D$5:$D$50,"Asset")=1,COUNTIFS(Categories!$A$5:$A$100,F103,Categories!$C$5:$C$100,"Income")=1),AND(B103="Expense",D103&lt;&gt;"",E103="",F103&lt;&gt;"",COUNTIF(Accounts!$A$5:$A$50,D103)=1,COUNTIFS(Categories!$A$5:$A$100,F103,Categories!$C$5:$C$100,"Expense")=1),AND(B103="Refund",D103="",E103&lt;&gt;"",F103&lt;&gt;"",COUNTIF(Accounts!$A$5:$A$50,E103)=1,COUNTIFS(Categories!$A$5:$A$100,F103,Categories!$C$5:$C$100,"Expense")=1),AND(B103="Transfer",D103&lt;&gt;"",E103&lt;&gt;"",D103&lt;&gt;E103,F103="",COUNTIF(Accounts!$A$5:$A$50,D103)=1,COUNTIF(Accounts!$A$5:$A$50,E103)=1),AND(B103="Allocation",F103="Savings &amp; Investment",OR(AND(D103&lt;&gt;"",E103="",COUNTIFS(Accounts!$A$5:$A$50,D103,Accounts!$D$5:$D$50,"Asset")=1),AND(D103="",E103&lt;&gt;"",COUNTIFS(Accounts!$A$5:$A$50,E103,Accounts!$D$5:$D$50,"Asset")=1))),AND(B103="Adjustment",F103="",OR(AND(D103&lt;&gt;"",E103="",COUNTIF(Accounts!$A$5:$A$50,D103)=1),AND(D103="",E103&lt;&gt;"",COUNTIF(Accounts!$A$5:$A$50,E103)=1)))),"OK","CHECK: Type / account / category combination")))</f>
        <v/>
      </c>
    </row>
    <row r="104" spans="1:9">
      <c r="A104" s="56"/>
      <c r="C104" s="57"/>
      <c r="I104" s="13" t="str">
        <f>IF(COUNTA(A104:H104)=0,"",IF(OR(A104="",B104="",C104="",C104&lt;=0),"CHECK: Date, Type and positive Amount required",IF(OR(AND(B104="Income",D104="",E104&lt;&gt;"",F104&lt;&gt;"",COUNTIFS(Accounts!$A$5:$A$50,E104,Accounts!$D$5:$D$50,"Asset")=1,COUNTIFS(Categories!$A$5:$A$100,F104,Categories!$C$5:$C$100,"Income")=1),AND(B104="Expense",D104&lt;&gt;"",E104="",F104&lt;&gt;"",COUNTIF(Accounts!$A$5:$A$50,D104)=1,COUNTIFS(Categories!$A$5:$A$100,F104,Categories!$C$5:$C$100,"Expense")=1),AND(B104="Refund",D104="",E104&lt;&gt;"",F104&lt;&gt;"",COUNTIF(Accounts!$A$5:$A$50,E104)=1,COUNTIFS(Categories!$A$5:$A$100,F104,Categories!$C$5:$C$100,"Expense")=1),AND(B104="Transfer",D104&lt;&gt;"",E104&lt;&gt;"",D104&lt;&gt;E104,F104="",COUNTIF(Accounts!$A$5:$A$50,D104)=1,COUNTIF(Accounts!$A$5:$A$50,E104)=1),AND(B104="Allocation",F104="Savings &amp; Investment",OR(AND(D104&lt;&gt;"",E104="",COUNTIFS(Accounts!$A$5:$A$50,D104,Accounts!$D$5:$D$50,"Asset")=1),AND(D104="",E104&lt;&gt;"",COUNTIFS(Accounts!$A$5:$A$50,E104,Accounts!$D$5:$D$50,"Asset")=1))),AND(B104="Adjustment",F104="",OR(AND(D104&lt;&gt;"",E104="",COUNTIF(Accounts!$A$5:$A$50,D104)=1),AND(D104="",E104&lt;&gt;"",COUNTIF(Accounts!$A$5:$A$50,E104)=1)))),"OK","CHECK: Type / account / category combination")))</f>
        <v/>
      </c>
    </row>
    <row r="105" spans="1:9">
      <c r="A105" s="56"/>
      <c r="C105" s="57"/>
      <c r="I105" s="13" t="str">
        <f>IF(COUNTA(A105:H105)=0,"",IF(OR(A105="",B105="",C105="",C105&lt;=0),"CHECK: Date, Type and positive Amount required",IF(OR(AND(B105="Income",D105="",E105&lt;&gt;"",F105&lt;&gt;"",COUNTIFS(Accounts!$A$5:$A$50,E105,Accounts!$D$5:$D$50,"Asset")=1,COUNTIFS(Categories!$A$5:$A$100,F105,Categories!$C$5:$C$100,"Income")=1),AND(B105="Expense",D105&lt;&gt;"",E105="",F105&lt;&gt;"",COUNTIF(Accounts!$A$5:$A$50,D105)=1,COUNTIFS(Categories!$A$5:$A$100,F105,Categories!$C$5:$C$100,"Expense")=1),AND(B105="Refund",D105="",E105&lt;&gt;"",F105&lt;&gt;"",COUNTIF(Accounts!$A$5:$A$50,E105)=1,COUNTIFS(Categories!$A$5:$A$100,F105,Categories!$C$5:$C$100,"Expense")=1),AND(B105="Transfer",D105&lt;&gt;"",E105&lt;&gt;"",D105&lt;&gt;E105,F105="",COUNTIF(Accounts!$A$5:$A$50,D105)=1,COUNTIF(Accounts!$A$5:$A$50,E105)=1),AND(B105="Allocation",F105="Savings &amp; Investment",OR(AND(D105&lt;&gt;"",E105="",COUNTIFS(Accounts!$A$5:$A$50,D105,Accounts!$D$5:$D$50,"Asset")=1),AND(D105="",E105&lt;&gt;"",COUNTIFS(Accounts!$A$5:$A$50,E105,Accounts!$D$5:$D$50,"Asset")=1))),AND(B105="Adjustment",F105="",OR(AND(D105&lt;&gt;"",E105="",COUNTIF(Accounts!$A$5:$A$50,D105)=1),AND(D105="",E105&lt;&gt;"",COUNTIF(Accounts!$A$5:$A$50,E105)=1)))),"OK","CHECK: Type / account / category combination")))</f>
        <v/>
      </c>
    </row>
    <row r="106" spans="1:9">
      <c r="A106" s="56"/>
      <c r="C106" s="57"/>
      <c r="I106" s="13" t="str">
        <f>IF(COUNTA(A106:H106)=0,"",IF(OR(A106="",B106="",C106="",C106&lt;=0),"CHECK: Date, Type and positive Amount required",IF(OR(AND(B106="Income",D106="",E106&lt;&gt;"",F106&lt;&gt;"",COUNTIFS(Accounts!$A$5:$A$50,E106,Accounts!$D$5:$D$50,"Asset")=1,COUNTIFS(Categories!$A$5:$A$100,F106,Categories!$C$5:$C$100,"Income")=1),AND(B106="Expense",D106&lt;&gt;"",E106="",F106&lt;&gt;"",COUNTIF(Accounts!$A$5:$A$50,D106)=1,COUNTIFS(Categories!$A$5:$A$100,F106,Categories!$C$5:$C$100,"Expense")=1),AND(B106="Refund",D106="",E106&lt;&gt;"",F106&lt;&gt;"",COUNTIF(Accounts!$A$5:$A$50,E106)=1,COUNTIFS(Categories!$A$5:$A$100,F106,Categories!$C$5:$C$100,"Expense")=1),AND(B106="Transfer",D106&lt;&gt;"",E106&lt;&gt;"",D106&lt;&gt;E106,F106="",COUNTIF(Accounts!$A$5:$A$50,D106)=1,COUNTIF(Accounts!$A$5:$A$50,E106)=1),AND(B106="Allocation",F106="Savings &amp; Investment",OR(AND(D106&lt;&gt;"",E106="",COUNTIFS(Accounts!$A$5:$A$50,D106,Accounts!$D$5:$D$50,"Asset")=1),AND(D106="",E106&lt;&gt;"",COUNTIFS(Accounts!$A$5:$A$50,E106,Accounts!$D$5:$D$50,"Asset")=1))),AND(B106="Adjustment",F106="",OR(AND(D106&lt;&gt;"",E106="",COUNTIF(Accounts!$A$5:$A$50,D106)=1),AND(D106="",E106&lt;&gt;"",COUNTIF(Accounts!$A$5:$A$50,E106)=1)))),"OK","CHECK: Type / account / category combination")))</f>
        <v/>
      </c>
    </row>
    <row r="107" spans="1:9">
      <c r="A107" s="56"/>
      <c r="C107" s="57"/>
      <c r="I107" s="13" t="str">
        <f>IF(COUNTA(A107:H107)=0,"",IF(OR(A107="",B107="",C107="",C107&lt;=0),"CHECK: Date, Type and positive Amount required",IF(OR(AND(B107="Income",D107="",E107&lt;&gt;"",F107&lt;&gt;"",COUNTIFS(Accounts!$A$5:$A$50,E107,Accounts!$D$5:$D$50,"Asset")=1,COUNTIFS(Categories!$A$5:$A$100,F107,Categories!$C$5:$C$100,"Income")=1),AND(B107="Expense",D107&lt;&gt;"",E107="",F107&lt;&gt;"",COUNTIF(Accounts!$A$5:$A$50,D107)=1,COUNTIFS(Categories!$A$5:$A$100,F107,Categories!$C$5:$C$100,"Expense")=1),AND(B107="Refund",D107="",E107&lt;&gt;"",F107&lt;&gt;"",COUNTIF(Accounts!$A$5:$A$50,E107)=1,COUNTIFS(Categories!$A$5:$A$100,F107,Categories!$C$5:$C$100,"Expense")=1),AND(B107="Transfer",D107&lt;&gt;"",E107&lt;&gt;"",D107&lt;&gt;E107,F107="",COUNTIF(Accounts!$A$5:$A$50,D107)=1,COUNTIF(Accounts!$A$5:$A$50,E107)=1),AND(B107="Allocation",F107="Savings &amp; Investment",OR(AND(D107&lt;&gt;"",E107="",COUNTIFS(Accounts!$A$5:$A$50,D107,Accounts!$D$5:$D$50,"Asset")=1),AND(D107="",E107&lt;&gt;"",COUNTIFS(Accounts!$A$5:$A$50,E107,Accounts!$D$5:$D$50,"Asset")=1))),AND(B107="Adjustment",F107="",OR(AND(D107&lt;&gt;"",E107="",COUNTIF(Accounts!$A$5:$A$50,D107)=1),AND(D107="",E107&lt;&gt;"",COUNTIF(Accounts!$A$5:$A$50,E107)=1)))),"OK","CHECK: Type / account / category combination")))</f>
        <v/>
      </c>
    </row>
    <row r="108" spans="1:9">
      <c r="A108" s="56"/>
      <c r="C108" s="57"/>
      <c r="I108" s="13" t="str">
        <f>IF(COUNTA(A108:H108)=0,"",IF(OR(A108="",B108="",C108="",C108&lt;=0),"CHECK: Date, Type and positive Amount required",IF(OR(AND(B108="Income",D108="",E108&lt;&gt;"",F108&lt;&gt;"",COUNTIFS(Accounts!$A$5:$A$50,E108,Accounts!$D$5:$D$50,"Asset")=1,COUNTIFS(Categories!$A$5:$A$100,F108,Categories!$C$5:$C$100,"Income")=1),AND(B108="Expense",D108&lt;&gt;"",E108="",F108&lt;&gt;"",COUNTIF(Accounts!$A$5:$A$50,D108)=1,COUNTIFS(Categories!$A$5:$A$100,F108,Categories!$C$5:$C$100,"Expense")=1),AND(B108="Refund",D108="",E108&lt;&gt;"",F108&lt;&gt;"",COUNTIF(Accounts!$A$5:$A$50,E108)=1,COUNTIFS(Categories!$A$5:$A$100,F108,Categories!$C$5:$C$100,"Expense")=1),AND(B108="Transfer",D108&lt;&gt;"",E108&lt;&gt;"",D108&lt;&gt;E108,F108="",COUNTIF(Accounts!$A$5:$A$50,D108)=1,COUNTIF(Accounts!$A$5:$A$50,E108)=1),AND(B108="Allocation",F108="Savings &amp; Investment",OR(AND(D108&lt;&gt;"",E108="",COUNTIFS(Accounts!$A$5:$A$50,D108,Accounts!$D$5:$D$50,"Asset")=1),AND(D108="",E108&lt;&gt;"",COUNTIFS(Accounts!$A$5:$A$50,E108,Accounts!$D$5:$D$50,"Asset")=1))),AND(B108="Adjustment",F108="",OR(AND(D108&lt;&gt;"",E108="",COUNTIF(Accounts!$A$5:$A$50,D108)=1),AND(D108="",E108&lt;&gt;"",COUNTIF(Accounts!$A$5:$A$50,E108)=1)))),"OK","CHECK: Type / account / category combination")))</f>
        <v/>
      </c>
    </row>
    <row r="109" spans="1:9">
      <c r="A109" s="56"/>
      <c r="C109" s="57"/>
      <c r="I109" s="13" t="str">
        <f>IF(COUNTA(A109:H109)=0,"",IF(OR(A109="",B109="",C109="",C109&lt;=0),"CHECK: Date, Type and positive Amount required",IF(OR(AND(B109="Income",D109="",E109&lt;&gt;"",F109&lt;&gt;"",COUNTIFS(Accounts!$A$5:$A$50,E109,Accounts!$D$5:$D$50,"Asset")=1,COUNTIFS(Categories!$A$5:$A$100,F109,Categories!$C$5:$C$100,"Income")=1),AND(B109="Expense",D109&lt;&gt;"",E109="",F109&lt;&gt;"",COUNTIF(Accounts!$A$5:$A$50,D109)=1,COUNTIFS(Categories!$A$5:$A$100,F109,Categories!$C$5:$C$100,"Expense")=1),AND(B109="Refund",D109="",E109&lt;&gt;"",F109&lt;&gt;"",COUNTIF(Accounts!$A$5:$A$50,E109)=1,COUNTIFS(Categories!$A$5:$A$100,F109,Categories!$C$5:$C$100,"Expense")=1),AND(B109="Transfer",D109&lt;&gt;"",E109&lt;&gt;"",D109&lt;&gt;E109,F109="",COUNTIF(Accounts!$A$5:$A$50,D109)=1,COUNTIF(Accounts!$A$5:$A$50,E109)=1),AND(B109="Allocation",F109="Savings &amp; Investment",OR(AND(D109&lt;&gt;"",E109="",COUNTIFS(Accounts!$A$5:$A$50,D109,Accounts!$D$5:$D$50,"Asset")=1),AND(D109="",E109&lt;&gt;"",COUNTIFS(Accounts!$A$5:$A$50,E109,Accounts!$D$5:$D$50,"Asset")=1))),AND(B109="Adjustment",F109="",OR(AND(D109&lt;&gt;"",E109="",COUNTIF(Accounts!$A$5:$A$50,D109)=1),AND(D109="",E109&lt;&gt;"",COUNTIF(Accounts!$A$5:$A$50,E109)=1)))),"OK","CHECK: Type / account / category combination")))</f>
        <v/>
      </c>
    </row>
    <row r="110" spans="1:9">
      <c r="A110" s="56"/>
      <c r="C110" s="57"/>
      <c r="I110" s="13" t="str">
        <f>IF(COUNTA(A110:H110)=0,"",IF(OR(A110="",B110="",C110="",C110&lt;=0),"CHECK: Date, Type and positive Amount required",IF(OR(AND(B110="Income",D110="",E110&lt;&gt;"",F110&lt;&gt;"",COUNTIFS(Accounts!$A$5:$A$50,E110,Accounts!$D$5:$D$50,"Asset")=1,COUNTIFS(Categories!$A$5:$A$100,F110,Categories!$C$5:$C$100,"Income")=1),AND(B110="Expense",D110&lt;&gt;"",E110="",F110&lt;&gt;"",COUNTIF(Accounts!$A$5:$A$50,D110)=1,COUNTIFS(Categories!$A$5:$A$100,F110,Categories!$C$5:$C$100,"Expense")=1),AND(B110="Refund",D110="",E110&lt;&gt;"",F110&lt;&gt;"",COUNTIF(Accounts!$A$5:$A$50,E110)=1,COUNTIFS(Categories!$A$5:$A$100,F110,Categories!$C$5:$C$100,"Expense")=1),AND(B110="Transfer",D110&lt;&gt;"",E110&lt;&gt;"",D110&lt;&gt;E110,F110="",COUNTIF(Accounts!$A$5:$A$50,D110)=1,COUNTIF(Accounts!$A$5:$A$50,E110)=1),AND(B110="Allocation",F110="Savings &amp; Investment",OR(AND(D110&lt;&gt;"",E110="",COUNTIFS(Accounts!$A$5:$A$50,D110,Accounts!$D$5:$D$50,"Asset")=1),AND(D110="",E110&lt;&gt;"",COUNTIFS(Accounts!$A$5:$A$50,E110,Accounts!$D$5:$D$50,"Asset")=1))),AND(B110="Adjustment",F110="",OR(AND(D110&lt;&gt;"",E110="",COUNTIF(Accounts!$A$5:$A$50,D110)=1),AND(D110="",E110&lt;&gt;"",COUNTIF(Accounts!$A$5:$A$50,E110)=1)))),"OK","CHECK: Type / account / category combination")))</f>
        <v/>
      </c>
    </row>
    <row r="111" spans="1:9">
      <c r="A111" s="56"/>
      <c r="C111" s="57"/>
      <c r="I111" s="13" t="str">
        <f>IF(COUNTA(A111:H111)=0,"",IF(OR(A111="",B111="",C111="",C111&lt;=0),"CHECK: Date, Type and positive Amount required",IF(OR(AND(B111="Income",D111="",E111&lt;&gt;"",F111&lt;&gt;"",COUNTIFS(Accounts!$A$5:$A$50,E111,Accounts!$D$5:$D$50,"Asset")=1,COUNTIFS(Categories!$A$5:$A$100,F111,Categories!$C$5:$C$100,"Income")=1),AND(B111="Expense",D111&lt;&gt;"",E111="",F111&lt;&gt;"",COUNTIF(Accounts!$A$5:$A$50,D111)=1,COUNTIFS(Categories!$A$5:$A$100,F111,Categories!$C$5:$C$100,"Expense")=1),AND(B111="Refund",D111="",E111&lt;&gt;"",F111&lt;&gt;"",COUNTIF(Accounts!$A$5:$A$50,E111)=1,COUNTIFS(Categories!$A$5:$A$100,F111,Categories!$C$5:$C$100,"Expense")=1),AND(B111="Transfer",D111&lt;&gt;"",E111&lt;&gt;"",D111&lt;&gt;E111,F111="",COUNTIF(Accounts!$A$5:$A$50,D111)=1,COUNTIF(Accounts!$A$5:$A$50,E111)=1),AND(B111="Allocation",F111="Savings &amp; Investment",OR(AND(D111&lt;&gt;"",E111="",COUNTIFS(Accounts!$A$5:$A$50,D111,Accounts!$D$5:$D$50,"Asset")=1),AND(D111="",E111&lt;&gt;"",COUNTIFS(Accounts!$A$5:$A$50,E111,Accounts!$D$5:$D$50,"Asset")=1))),AND(B111="Adjustment",F111="",OR(AND(D111&lt;&gt;"",E111="",COUNTIF(Accounts!$A$5:$A$50,D111)=1),AND(D111="",E111&lt;&gt;"",COUNTIF(Accounts!$A$5:$A$50,E111)=1)))),"OK","CHECK: Type / account / category combination")))</f>
        <v/>
      </c>
    </row>
    <row r="112" spans="1:9">
      <c r="A112" s="56"/>
      <c r="C112" s="57"/>
      <c r="I112" s="13" t="str">
        <f>IF(COUNTA(A112:H112)=0,"",IF(OR(A112="",B112="",C112="",C112&lt;=0),"CHECK: Date, Type and positive Amount required",IF(OR(AND(B112="Income",D112="",E112&lt;&gt;"",F112&lt;&gt;"",COUNTIFS(Accounts!$A$5:$A$50,E112,Accounts!$D$5:$D$50,"Asset")=1,COUNTIFS(Categories!$A$5:$A$100,F112,Categories!$C$5:$C$100,"Income")=1),AND(B112="Expense",D112&lt;&gt;"",E112="",F112&lt;&gt;"",COUNTIF(Accounts!$A$5:$A$50,D112)=1,COUNTIFS(Categories!$A$5:$A$100,F112,Categories!$C$5:$C$100,"Expense")=1),AND(B112="Refund",D112="",E112&lt;&gt;"",F112&lt;&gt;"",COUNTIF(Accounts!$A$5:$A$50,E112)=1,COUNTIFS(Categories!$A$5:$A$100,F112,Categories!$C$5:$C$100,"Expense")=1),AND(B112="Transfer",D112&lt;&gt;"",E112&lt;&gt;"",D112&lt;&gt;E112,F112="",COUNTIF(Accounts!$A$5:$A$50,D112)=1,COUNTIF(Accounts!$A$5:$A$50,E112)=1),AND(B112="Allocation",F112="Savings &amp; Investment",OR(AND(D112&lt;&gt;"",E112="",COUNTIFS(Accounts!$A$5:$A$50,D112,Accounts!$D$5:$D$50,"Asset")=1),AND(D112="",E112&lt;&gt;"",COUNTIFS(Accounts!$A$5:$A$50,E112,Accounts!$D$5:$D$50,"Asset")=1))),AND(B112="Adjustment",F112="",OR(AND(D112&lt;&gt;"",E112="",COUNTIF(Accounts!$A$5:$A$50,D112)=1),AND(D112="",E112&lt;&gt;"",COUNTIF(Accounts!$A$5:$A$50,E112)=1)))),"OK","CHECK: Type / account / category combination")))</f>
        <v/>
      </c>
    </row>
    <row r="113" spans="1:9">
      <c r="A113" s="56"/>
      <c r="C113" s="57"/>
      <c r="I113" s="13" t="str">
        <f>IF(COUNTA(A113:H113)=0,"",IF(OR(A113="",B113="",C113="",C113&lt;=0),"CHECK: Date, Type and positive Amount required",IF(OR(AND(B113="Income",D113="",E113&lt;&gt;"",F113&lt;&gt;"",COUNTIFS(Accounts!$A$5:$A$50,E113,Accounts!$D$5:$D$50,"Asset")=1,COUNTIFS(Categories!$A$5:$A$100,F113,Categories!$C$5:$C$100,"Income")=1),AND(B113="Expense",D113&lt;&gt;"",E113="",F113&lt;&gt;"",COUNTIF(Accounts!$A$5:$A$50,D113)=1,COUNTIFS(Categories!$A$5:$A$100,F113,Categories!$C$5:$C$100,"Expense")=1),AND(B113="Refund",D113="",E113&lt;&gt;"",F113&lt;&gt;"",COUNTIF(Accounts!$A$5:$A$50,E113)=1,COUNTIFS(Categories!$A$5:$A$100,F113,Categories!$C$5:$C$100,"Expense")=1),AND(B113="Transfer",D113&lt;&gt;"",E113&lt;&gt;"",D113&lt;&gt;E113,F113="",COUNTIF(Accounts!$A$5:$A$50,D113)=1,COUNTIF(Accounts!$A$5:$A$50,E113)=1),AND(B113="Allocation",F113="Savings &amp; Investment",OR(AND(D113&lt;&gt;"",E113="",COUNTIFS(Accounts!$A$5:$A$50,D113,Accounts!$D$5:$D$50,"Asset")=1),AND(D113="",E113&lt;&gt;"",COUNTIFS(Accounts!$A$5:$A$50,E113,Accounts!$D$5:$D$50,"Asset")=1))),AND(B113="Adjustment",F113="",OR(AND(D113&lt;&gt;"",E113="",COUNTIF(Accounts!$A$5:$A$50,D113)=1),AND(D113="",E113&lt;&gt;"",COUNTIF(Accounts!$A$5:$A$50,E113)=1)))),"OK","CHECK: Type / account / category combination")))</f>
        <v/>
      </c>
    </row>
    <row r="114" spans="1:9">
      <c r="A114" s="56"/>
      <c r="C114" s="57"/>
      <c r="I114" s="13" t="str">
        <f>IF(COUNTA(A114:H114)=0,"",IF(OR(A114="",B114="",C114="",C114&lt;=0),"CHECK: Date, Type and positive Amount required",IF(OR(AND(B114="Income",D114="",E114&lt;&gt;"",F114&lt;&gt;"",COUNTIFS(Accounts!$A$5:$A$50,E114,Accounts!$D$5:$D$50,"Asset")=1,COUNTIFS(Categories!$A$5:$A$100,F114,Categories!$C$5:$C$100,"Income")=1),AND(B114="Expense",D114&lt;&gt;"",E114="",F114&lt;&gt;"",COUNTIF(Accounts!$A$5:$A$50,D114)=1,COUNTIFS(Categories!$A$5:$A$100,F114,Categories!$C$5:$C$100,"Expense")=1),AND(B114="Refund",D114="",E114&lt;&gt;"",F114&lt;&gt;"",COUNTIF(Accounts!$A$5:$A$50,E114)=1,COUNTIFS(Categories!$A$5:$A$100,F114,Categories!$C$5:$C$100,"Expense")=1),AND(B114="Transfer",D114&lt;&gt;"",E114&lt;&gt;"",D114&lt;&gt;E114,F114="",COUNTIF(Accounts!$A$5:$A$50,D114)=1,COUNTIF(Accounts!$A$5:$A$50,E114)=1),AND(B114="Allocation",F114="Savings &amp; Investment",OR(AND(D114&lt;&gt;"",E114="",COUNTIFS(Accounts!$A$5:$A$50,D114,Accounts!$D$5:$D$50,"Asset")=1),AND(D114="",E114&lt;&gt;"",COUNTIFS(Accounts!$A$5:$A$50,E114,Accounts!$D$5:$D$50,"Asset")=1))),AND(B114="Adjustment",F114="",OR(AND(D114&lt;&gt;"",E114="",COUNTIF(Accounts!$A$5:$A$50,D114)=1),AND(D114="",E114&lt;&gt;"",COUNTIF(Accounts!$A$5:$A$50,E114)=1)))),"OK","CHECK: Type / account / category combination")))</f>
        <v/>
      </c>
    </row>
    <row r="115" spans="1:9">
      <c r="A115" s="56"/>
      <c r="C115" s="57"/>
      <c r="I115" s="13" t="str">
        <f>IF(COUNTA(A115:H115)=0,"",IF(OR(A115="",B115="",C115="",C115&lt;=0),"CHECK: Date, Type and positive Amount required",IF(OR(AND(B115="Income",D115="",E115&lt;&gt;"",F115&lt;&gt;"",COUNTIFS(Accounts!$A$5:$A$50,E115,Accounts!$D$5:$D$50,"Asset")=1,COUNTIFS(Categories!$A$5:$A$100,F115,Categories!$C$5:$C$100,"Income")=1),AND(B115="Expense",D115&lt;&gt;"",E115="",F115&lt;&gt;"",COUNTIF(Accounts!$A$5:$A$50,D115)=1,COUNTIFS(Categories!$A$5:$A$100,F115,Categories!$C$5:$C$100,"Expense")=1),AND(B115="Refund",D115="",E115&lt;&gt;"",F115&lt;&gt;"",COUNTIF(Accounts!$A$5:$A$50,E115)=1,COUNTIFS(Categories!$A$5:$A$100,F115,Categories!$C$5:$C$100,"Expense")=1),AND(B115="Transfer",D115&lt;&gt;"",E115&lt;&gt;"",D115&lt;&gt;E115,F115="",COUNTIF(Accounts!$A$5:$A$50,D115)=1,COUNTIF(Accounts!$A$5:$A$50,E115)=1),AND(B115="Allocation",F115="Savings &amp; Investment",OR(AND(D115&lt;&gt;"",E115="",COUNTIFS(Accounts!$A$5:$A$50,D115,Accounts!$D$5:$D$50,"Asset")=1),AND(D115="",E115&lt;&gt;"",COUNTIFS(Accounts!$A$5:$A$50,E115,Accounts!$D$5:$D$50,"Asset")=1))),AND(B115="Adjustment",F115="",OR(AND(D115&lt;&gt;"",E115="",COUNTIF(Accounts!$A$5:$A$50,D115)=1),AND(D115="",E115&lt;&gt;"",COUNTIF(Accounts!$A$5:$A$50,E115)=1)))),"OK","CHECK: Type / account / category combination")))</f>
        <v/>
      </c>
    </row>
    <row r="116" spans="1:9">
      <c r="A116" s="56"/>
      <c r="C116" s="57"/>
      <c r="I116" s="13" t="str">
        <f>IF(COUNTA(A116:H116)=0,"",IF(OR(A116="",B116="",C116="",C116&lt;=0),"CHECK: Date, Type and positive Amount required",IF(OR(AND(B116="Income",D116="",E116&lt;&gt;"",F116&lt;&gt;"",COUNTIFS(Accounts!$A$5:$A$50,E116,Accounts!$D$5:$D$50,"Asset")=1,COUNTIFS(Categories!$A$5:$A$100,F116,Categories!$C$5:$C$100,"Income")=1),AND(B116="Expense",D116&lt;&gt;"",E116="",F116&lt;&gt;"",COUNTIF(Accounts!$A$5:$A$50,D116)=1,COUNTIFS(Categories!$A$5:$A$100,F116,Categories!$C$5:$C$100,"Expense")=1),AND(B116="Refund",D116="",E116&lt;&gt;"",F116&lt;&gt;"",COUNTIF(Accounts!$A$5:$A$50,E116)=1,COUNTIFS(Categories!$A$5:$A$100,F116,Categories!$C$5:$C$100,"Expense")=1),AND(B116="Transfer",D116&lt;&gt;"",E116&lt;&gt;"",D116&lt;&gt;E116,F116="",COUNTIF(Accounts!$A$5:$A$50,D116)=1,COUNTIF(Accounts!$A$5:$A$50,E116)=1),AND(B116="Allocation",F116="Savings &amp; Investment",OR(AND(D116&lt;&gt;"",E116="",COUNTIFS(Accounts!$A$5:$A$50,D116,Accounts!$D$5:$D$50,"Asset")=1),AND(D116="",E116&lt;&gt;"",COUNTIFS(Accounts!$A$5:$A$50,E116,Accounts!$D$5:$D$50,"Asset")=1))),AND(B116="Adjustment",F116="",OR(AND(D116&lt;&gt;"",E116="",COUNTIF(Accounts!$A$5:$A$50,D116)=1),AND(D116="",E116&lt;&gt;"",COUNTIF(Accounts!$A$5:$A$50,E116)=1)))),"OK","CHECK: Type / account / category combination")))</f>
        <v/>
      </c>
    </row>
    <row r="117" spans="1:9">
      <c r="A117" s="56"/>
      <c r="C117" s="57"/>
      <c r="I117" s="13" t="str">
        <f>IF(COUNTA(A117:H117)=0,"",IF(OR(A117="",B117="",C117="",C117&lt;=0),"CHECK: Date, Type and positive Amount required",IF(OR(AND(B117="Income",D117="",E117&lt;&gt;"",F117&lt;&gt;"",COUNTIFS(Accounts!$A$5:$A$50,E117,Accounts!$D$5:$D$50,"Asset")=1,COUNTIFS(Categories!$A$5:$A$100,F117,Categories!$C$5:$C$100,"Income")=1),AND(B117="Expense",D117&lt;&gt;"",E117="",F117&lt;&gt;"",COUNTIF(Accounts!$A$5:$A$50,D117)=1,COUNTIFS(Categories!$A$5:$A$100,F117,Categories!$C$5:$C$100,"Expense")=1),AND(B117="Refund",D117="",E117&lt;&gt;"",F117&lt;&gt;"",COUNTIF(Accounts!$A$5:$A$50,E117)=1,COUNTIFS(Categories!$A$5:$A$100,F117,Categories!$C$5:$C$100,"Expense")=1),AND(B117="Transfer",D117&lt;&gt;"",E117&lt;&gt;"",D117&lt;&gt;E117,F117="",COUNTIF(Accounts!$A$5:$A$50,D117)=1,COUNTIF(Accounts!$A$5:$A$50,E117)=1),AND(B117="Allocation",F117="Savings &amp; Investment",OR(AND(D117&lt;&gt;"",E117="",COUNTIFS(Accounts!$A$5:$A$50,D117,Accounts!$D$5:$D$50,"Asset")=1),AND(D117="",E117&lt;&gt;"",COUNTIFS(Accounts!$A$5:$A$50,E117,Accounts!$D$5:$D$50,"Asset")=1))),AND(B117="Adjustment",F117="",OR(AND(D117&lt;&gt;"",E117="",COUNTIF(Accounts!$A$5:$A$50,D117)=1),AND(D117="",E117&lt;&gt;"",COUNTIF(Accounts!$A$5:$A$50,E117)=1)))),"OK","CHECK: Type / account / category combination")))</f>
        <v/>
      </c>
    </row>
    <row r="118" spans="1:9">
      <c r="A118" s="56"/>
      <c r="C118" s="57"/>
      <c r="I118" s="13" t="str">
        <f>IF(COUNTA(A118:H118)=0,"",IF(OR(A118="",B118="",C118="",C118&lt;=0),"CHECK: Date, Type and positive Amount required",IF(OR(AND(B118="Income",D118="",E118&lt;&gt;"",F118&lt;&gt;"",COUNTIFS(Accounts!$A$5:$A$50,E118,Accounts!$D$5:$D$50,"Asset")=1,COUNTIFS(Categories!$A$5:$A$100,F118,Categories!$C$5:$C$100,"Income")=1),AND(B118="Expense",D118&lt;&gt;"",E118="",F118&lt;&gt;"",COUNTIF(Accounts!$A$5:$A$50,D118)=1,COUNTIFS(Categories!$A$5:$A$100,F118,Categories!$C$5:$C$100,"Expense")=1),AND(B118="Refund",D118="",E118&lt;&gt;"",F118&lt;&gt;"",COUNTIF(Accounts!$A$5:$A$50,E118)=1,COUNTIFS(Categories!$A$5:$A$100,F118,Categories!$C$5:$C$100,"Expense")=1),AND(B118="Transfer",D118&lt;&gt;"",E118&lt;&gt;"",D118&lt;&gt;E118,F118="",COUNTIF(Accounts!$A$5:$A$50,D118)=1,COUNTIF(Accounts!$A$5:$A$50,E118)=1),AND(B118="Allocation",F118="Savings &amp; Investment",OR(AND(D118&lt;&gt;"",E118="",COUNTIFS(Accounts!$A$5:$A$50,D118,Accounts!$D$5:$D$50,"Asset")=1),AND(D118="",E118&lt;&gt;"",COUNTIFS(Accounts!$A$5:$A$50,E118,Accounts!$D$5:$D$50,"Asset")=1))),AND(B118="Adjustment",F118="",OR(AND(D118&lt;&gt;"",E118="",COUNTIF(Accounts!$A$5:$A$50,D118)=1),AND(D118="",E118&lt;&gt;"",COUNTIF(Accounts!$A$5:$A$50,E118)=1)))),"OK","CHECK: Type / account / category combination")))</f>
        <v/>
      </c>
    </row>
    <row r="119" spans="1:9">
      <c r="A119" s="56"/>
      <c r="C119" s="57"/>
      <c r="I119" s="13" t="str">
        <f>IF(COUNTA(A119:H119)=0,"",IF(OR(A119="",B119="",C119="",C119&lt;=0),"CHECK: Date, Type and positive Amount required",IF(OR(AND(B119="Income",D119="",E119&lt;&gt;"",F119&lt;&gt;"",COUNTIFS(Accounts!$A$5:$A$50,E119,Accounts!$D$5:$D$50,"Asset")=1,COUNTIFS(Categories!$A$5:$A$100,F119,Categories!$C$5:$C$100,"Income")=1),AND(B119="Expense",D119&lt;&gt;"",E119="",F119&lt;&gt;"",COUNTIF(Accounts!$A$5:$A$50,D119)=1,COUNTIFS(Categories!$A$5:$A$100,F119,Categories!$C$5:$C$100,"Expense")=1),AND(B119="Refund",D119="",E119&lt;&gt;"",F119&lt;&gt;"",COUNTIF(Accounts!$A$5:$A$50,E119)=1,COUNTIFS(Categories!$A$5:$A$100,F119,Categories!$C$5:$C$100,"Expense")=1),AND(B119="Transfer",D119&lt;&gt;"",E119&lt;&gt;"",D119&lt;&gt;E119,F119="",COUNTIF(Accounts!$A$5:$A$50,D119)=1,COUNTIF(Accounts!$A$5:$A$50,E119)=1),AND(B119="Allocation",F119="Savings &amp; Investment",OR(AND(D119&lt;&gt;"",E119="",COUNTIFS(Accounts!$A$5:$A$50,D119,Accounts!$D$5:$D$50,"Asset")=1),AND(D119="",E119&lt;&gt;"",COUNTIFS(Accounts!$A$5:$A$50,E119,Accounts!$D$5:$D$50,"Asset")=1))),AND(B119="Adjustment",F119="",OR(AND(D119&lt;&gt;"",E119="",COUNTIF(Accounts!$A$5:$A$50,D119)=1),AND(D119="",E119&lt;&gt;"",COUNTIF(Accounts!$A$5:$A$50,E119)=1)))),"OK","CHECK: Type / account / category combination")))</f>
        <v/>
      </c>
    </row>
    <row r="120" spans="1:9">
      <c r="A120" s="56"/>
      <c r="C120" s="57"/>
      <c r="I120" s="13" t="str">
        <f>IF(COUNTA(A120:H120)=0,"",IF(OR(A120="",B120="",C120="",C120&lt;=0),"CHECK: Date, Type and positive Amount required",IF(OR(AND(B120="Income",D120="",E120&lt;&gt;"",F120&lt;&gt;"",COUNTIFS(Accounts!$A$5:$A$50,E120,Accounts!$D$5:$D$50,"Asset")=1,COUNTIFS(Categories!$A$5:$A$100,F120,Categories!$C$5:$C$100,"Income")=1),AND(B120="Expense",D120&lt;&gt;"",E120="",F120&lt;&gt;"",COUNTIF(Accounts!$A$5:$A$50,D120)=1,COUNTIFS(Categories!$A$5:$A$100,F120,Categories!$C$5:$C$100,"Expense")=1),AND(B120="Refund",D120="",E120&lt;&gt;"",F120&lt;&gt;"",COUNTIF(Accounts!$A$5:$A$50,E120)=1,COUNTIFS(Categories!$A$5:$A$100,F120,Categories!$C$5:$C$100,"Expense")=1),AND(B120="Transfer",D120&lt;&gt;"",E120&lt;&gt;"",D120&lt;&gt;E120,F120="",COUNTIF(Accounts!$A$5:$A$50,D120)=1,COUNTIF(Accounts!$A$5:$A$50,E120)=1),AND(B120="Allocation",F120="Savings &amp; Investment",OR(AND(D120&lt;&gt;"",E120="",COUNTIFS(Accounts!$A$5:$A$50,D120,Accounts!$D$5:$D$50,"Asset")=1),AND(D120="",E120&lt;&gt;"",COUNTIFS(Accounts!$A$5:$A$50,E120,Accounts!$D$5:$D$50,"Asset")=1))),AND(B120="Adjustment",F120="",OR(AND(D120&lt;&gt;"",E120="",COUNTIF(Accounts!$A$5:$A$50,D120)=1),AND(D120="",E120&lt;&gt;"",COUNTIF(Accounts!$A$5:$A$50,E120)=1)))),"OK","CHECK: Type / account / category combination")))</f>
        <v/>
      </c>
    </row>
    <row r="121" spans="1:9">
      <c r="A121" s="56"/>
      <c r="C121" s="57"/>
      <c r="I121" s="13" t="str">
        <f>IF(COUNTA(A121:H121)=0,"",IF(OR(A121="",B121="",C121="",C121&lt;=0),"CHECK: Date, Type and positive Amount required",IF(OR(AND(B121="Income",D121="",E121&lt;&gt;"",F121&lt;&gt;"",COUNTIFS(Accounts!$A$5:$A$50,E121,Accounts!$D$5:$D$50,"Asset")=1,COUNTIFS(Categories!$A$5:$A$100,F121,Categories!$C$5:$C$100,"Income")=1),AND(B121="Expense",D121&lt;&gt;"",E121="",F121&lt;&gt;"",COUNTIF(Accounts!$A$5:$A$50,D121)=1,COUNTIFS(Categories!$A$5:$A$100,F121,Categories!$C$5:$C$100,"Expense")=1),AND(B121="Refund",D121="",E121&lt;&gt;"",F121&lt;&gt;"",COUNTIF(Accounts!$A$5:$A$50,E121)=1,COUNTIFS(Categories!$A$5:$A$100,F121,Categories!$C$5:$C$100,"Expense")=1),AND(B121="Transfer",D121&lt;&gt;"",E121&lt;&gt;"",D121&lt;&gt;E121,F121="",COUNTIF(Accounts!$A$5:$A$50,D121)=1,COUNTIF(Accounts!$A$5:$A$50,E121)=1),AND(B121="Allocation",F121="Savings &amp; Investment",OR(AND(D121&lt;&gt;"",E121="",COUNTIFS(Accounts!$A$5:$A$50,D121,Accounts!$D$5:$D$50,"Asset")=1),AND(D121="",E121&lt;&gt;"",COUNTIFS(Accounts!$A$5:$A$50,E121,Accounts!$D$5:$D$50,"Asset")=1))),AND(B121="Adjustment",F121="",OR(AND(D121&lt;&gt;"",E121="",COUNTIF(Accounts!$A$5:$A$50,D121)=1),AND(D121="",E121&lt;&gt;"",COUNTIF(Accounts!$A$5:$A$50,E121)=1)))),"OK","CHECK: Type / account / category combination")))</f>
        <v/>
      </c>
    </row>
    <row r="122" spans="1:9">
      <c r="A122" s="56"/>
      <c r="C122" s="57"/>
      <c r="I122" s="13" t="str">
        <f>IF(COUNTA(A122:H122)=0,"",IF(OR(A122="",B122="",C122="",C122&lt;=0),"CHECK: Date, Type and positive Amount required",IF(OR(AND(B122="Income",D122="",E122&lt;&gt;"",F122&lt;&gt;"",COUNTIFS(Accounts!$A$5:$A$50,E122,Accounts!$D$5:$D$50,"Asset")=1,COUNTIFS(Categories!$A$5:$A$100,F122,Categories!$C$5:$C$100,"Income")=1),AND(B122="Expense",D122&lt;&gt;"",E122="",F122&lt;&gt;"",COUNTIF(Accounts!$A$5:$A$50,D122)=1,COUNTIFS(Categories!$A$5:$A$100,F122,Categories!$C$5:$C$100,"Expense")=1),AND(B122="Refund",D122="",E122&lt;&gt;"",F122&lt;&gt;"",COUNTIF(Accounts!$A$5:$A$50,E122)=1,COUNTIFS(Categories!$A$5:$A$100,F122,Categories!$C$5:$C$100,"Expense")=1),AND(B122="Transfer",D122&lt;&gt;"",E122&lt;&gt;"",D122&lt;&gt;E122,F122="",COUNTIF(Accounts!$A$5:$A$50,D122)=1,COUNTIF(Accounts!$A$5:$A$50,E122)=1),AND(B122="Allocation",F122="Savings &amp; Investment",OR(AND(D122&lt;&gt;"",E122="",COUNTIFS(Accounts!$A$5:$A$50,D122,Accounts!$D$5:$D$50,"Asset")=1),AND(D122="",E122&lt;&gt;"",COUNTIFS(Accounts!$A$5:$A$50,E122,Accounts!$D$5:$D$50,"Asset")=1))),AND(B122="Adjustment",F122="",OR(AND(D122&lt;&gt;"",E122="",COUNTIF(Accounts!$A$5:$A$50,D122)=1),AND(D122="",E122&lt;&gt;"",COUNTIF(Accounts!$A$5:$A$50,E122)=1)))),"OK","CHECK: Type / account / category combination")))</f>
        <v/>
      </c>
    </row>
    <row r="123" spans="1:9">
      <c r="A123" s="56"/>
      <c r="C123" s="57"/>
      <c r="I123" s="13" t="str">
        <f>IF(COUNTA(A123:H123)=0,"",IF(OR(A123="",B123="",C123="",C123&lt;=0),"CHECK: Date, Type and positive Amount required",IF(OR(AND(B123="Income",D123="",E123&lt;&gt;"",F123&lt;&gt;"",COUNTIFS(Accounts!$A$5:$A$50,E123,Accounts!$D$5:$D$50,"Asset")=1,COUNTIFS(Categories!$A$5:$A$100,F123,Categories!$C$5:$C$100,"Income")=1),AND(B123="Expense",D123&lt;&gt;"",E123="",F123&lt;&gt;"",COUNTIF(Accounts!$A$5:$A$50,D123)=1,COUNTIFS(Categories!$A$5:$A$100,F123,Categories!$C$5:$C$100,"Expense")=1),AND(B123="Refund",D123="",E123&lt;&gt;"",F123&lt;&gt;"",COUNTIF(Accounts!$A$5:$A$50,E123)=1,COUNTIFS(Categories!$A$5:$A$100,F123,Categories!$C$5:$C$100,"Expense")=1),AND(B123="Transfer",D123&lt;&gt;"",E123&lt;&gt;"",D123&lt;&gt;E123,F123="",COUNTIF(Accounts!$A$5:$A$50,D123)=1,COUNTIF(Accounts!$A$5:$A$50,E123)=1),AND(B123="Allocation",F123="Savings &amp; Investment",OR(AND(D123&lt;&gt;"",E123="",COUNTIFS(Accounts!$A$5:$A$50,D123,Accounts!$D$5:$D$50,"Asset")=1),AND(D123="",E123&lt;&gt;"",COUNTIFS(Accounts!$A$5:$A$50,E123,Accounts!$D$5:$D$50,"Asset")=1))),AND(B123="Adjustment",F123="",OR(AND(D123&lt;&gt;"",E123="",COUNTIF(Accounts!$A$5:$A$50,D123)=1),AND(D123="",E123&lt;&gt;"",COUNTIF(Accounts!$A$5:$A$50,E123)=1)))),"OK","CHECK: Type / account / category combination")))</f>
        <v/>
      </c>
    </row>
    <row r="124" spans="1:9">
      <c r="A124" s="56"/>
      <c r="C124" s="57"/>
      <c r="I124" s="13" t="str">
        <f>IF(COUNTA(A124:H124)=0,"",IF(OR(A124="",B124="",C124="",C124&lt;=0),"CHECK: Date, Type and positive Amount required",IF(OR(AND(B124="Income",D124="",E124&lt;&gt;"",F124&lt;&gt;"",COUNTIFS(Accounts!$A$5:$A$50,E124,Accounts!$D$5:$D$50,"Asset")=1,COUNTIFS(Categories!$A$5:$A$100,F124,Categories!$C$5:$C$100,"Income")=1),AND(B124="Expense",D124&lt;&gt;"",E124="",F124&lt;&gt;"",COUNTIF(Accounts!$A$5:$A$50,D124)=1,COUNTIFS(Categories!$A$5:$A$100,F124,Categories!$C$5:$C$100,"Expense")=1),AND(B124="Refund",D124="",E124&lt;&gt;"",F124&lt;&gt;"",COUNTIF(Accounts!$A$5:$A$50,E124)=1,COUNTIFS(Categories!$A$5:$A$100,F124,Categories!$C$5:$C$100,"Expense")=1),AND(B124="Transfer",D124&lt;&gt;"",E124&lt;&gt;"",D124&lt;&gt;E124,F124="",COUNTIF(Accounts!$A$5:$A$50,D124)=1,COUNTIF(Accounts!$A$5:$A$50,E124)=1),AND(B124="Allocation",F124="Savings &amp; Investment",OR(AND(D124&lt;&gt;"",E124="",COUNTIFS(Accounts!$A$5:$A$50,D124,Accounts!$D$5:$D$50,"Asset")=1),AND(D124="",E124&lt;&gt;"",COUNTIFS(Accounts!$A$5:$A$50,E124,Accounts!$D$5:$D$50,"Asset")=1))),AND(B124="Adjustment",F124="",OR(AND(D124&lt;&gt;"",E124="",COUNTIF(Accounts!$A$5:$A$50,D124)=1),AND(D124="",E124&lt;&gt;"",COUNTIF(Accounts!$A$5:$A$50,E124)=1)))),"OK","CHECK: Type / account / category combination")))</f>
        <v/>
      </c>
    </row>
    <row r="125" spans="1:9">
      <c r="A125" s="56"/>
      <c r="C125" s="57"/>
      <c r="I125" s="13" t="str">
        <f>IF(COUNTA(A125:H125)=0,"",IF(OR(A125="",B125="",C125="",C125&lt;=0),"CHECK: Date, Type and positive Amount required",IF(OR(AND(B125="Income",D125="",E125&lt;&gt;"",F125&lt;&gt;"",COUNTIFS(Accounts!$A$5:$A$50,E125,Accounts!$D$5:$D$50,"Asset")=1,COUNTIFS(Categories!$A$5:$A$100,F125,Categories!$C$5:$C$100,"Income")=1),AND(B125="Expense",D125&lt;&gt;"",E125="",F125&lt;&gt;"",COUNTIF(Accounts!$A$5:$A$50,D125)=1,COUNTIFS(Categories!$A$5:$A$100,F125,Categories!$C$5:$C$100,"Expense")=1),AND(B125="Refund",D125="",E125&lt;&gt;"",F125&lt;&gt;"",COUNTIF(Accounts!$A$5:$A$50,E125)=1,COUNTIFS(Categories!$A$5:$A$100,F125,Categories!$C$5:$C$100,"Expense")=1),AND(B125="Transfer",D125&lt;&gt;"",E125&lt;&gt;"",D125&lt;&gt;E125,F125="",COUNTIF(Accounts!$A$5:$A$50,D125)=1,COUNTIF(Accounts!$A$5:$A$50,E125)=1),AND(B125="Allocation",F125="Savings &amp; Investment",OR(AND(D125&lt;&gt;"",E125="",COUNTIFS(Accounts!$A$5:$A$50,D125,Accounts!$D$5:$D$50,"Asset")=1),AND(D125="",E125&lt;&gt;"",COUNTIFS(Accounts!$A$5:$A$50,E125,Accounts!$D$5:$D$50,"Asset")=1))),AND(B125="Adjustment",F125="",OR(AND(D125&lt;&gt;"",E125="",COUNTIF(Accounts!$A$5:$A$50,D125)=1),AND(D125="",E125&lt;&gt;"",COUNTIF(Accounts!$A$5:$A$50,E125)=1)))),"OK","CHECK: Type / account / category combination")))</f>
        <v/>
      </c>
    </row>
    <row r="126" spans="1:9">
      <c r="A126" s="56"/>
      <c r="C126" s="57"/>
      <c r="I126" s="13" t="str">
        <f>IF(COUNTA(A126:H126)=0,"",IF(OR(A126="",B126="",C126="",C126&lt;=0),"CHECK: Date, Type and positive Amount required",IF(OR(AND(B126="Income",D126="",E126&lt;&gt;"",F126&lt;&gt;"",COUNTIFS(Accounts!$A$5:$A$50,E126,Accounts!$D$5:$D$50,"Asset")=1,COUNTIFS(Categories!$A$5:$A$100,F126,Categories!$C$5:$C$100,"Income")=1),AND(B126="Expense",D126&lt;&gt;"",E126="",F126&lt;&gt;"",COUNTIF(Accounts!$A$5:$A$50,D126)=1,COUNTIFS(Categories!$A$5:$A$100,F126,Categories!$C$5:$C$100,"Expense")=1),AND(B126="Refund",D126="",E126&lt;&gt;"",F126&lt;&gt;"",COUNTIF(Accounts!$A$5:$A$50,E126)=1,COUNTIFS(Categories!$A$5:$A$100,F126,Categories!$C$5:$C$100,"Expense")=1),AND(B126="Transfer",D126&lt;&gt;"",E126&lt;&gt;"",D126&lt;&gt;E126,F126="",COUNTIF(Accounts!$A$5:$A$50,D126)=1,COUNTIF(Accounts!$A$5:$A$50,E126)=1),AND(B126="Allocation",F126="Savings &amp; Investment",OR(AND(D126&lt;&gt;"",E126="",COUNTIFS(Accounts!$A$5:$A$50,D126,Accounts!$D$5:$D$50,"Asset")=1),AND(D126="",E126&lt;&gt;"",COUNTIFS(Accounts!$A$5:$A$50,E126,Accounts!$D$5:$D$50,"Asset")=1))),AND(B126="Adjustment",F126="",OR(AND(D126&lt;&gt;"",E126="",COUNTIF(Accounts!$A$5:$A$50,D126)=1),AND(D126="",E126&lt;&gt;"",COUNTIF(Accounts!$A$5:$A$50,E126)=1)))),"OK","CHECK: Type / account / category combination")))</f>
        <v/>
      </c>
    </row>
    <row r="127" spans="1:9">
      <c r="A127" s="56"/>
      <c r="C127" s="57"/>
      <c r="I127" s="13" t="str">
        <f>IF(COUNTA(A127:H127)=0,"",IF(OR(A127="",B127="",C127="",C127&lt;=0),"CHECK: Date, Type and positive Amount required",IF(OR(AND(B127="Income",D127="",E127&lt;&gt;"",F127&lt;&gt;"",COUNTIFS(Accounts!$A$5:$A$50,E127,Accounts!$D$5:$D$50,"Asset")=1,COUNTIFS(Categories!$A$5:$A$100,F127,Categories!$C$5:$C$100,"Income")=1),AND(B127="Expense",D127&lt;&gt;"",E127="",F127&lt;&gt;"",COUNTIF(Accounts!$A$5:$A$50,D127)=1,COUNTIFS(Categories!$A$5:$A$100,F127,Categories!$C$5:$C$100,"Expense")=1),AND(B127="Refund",D127="",E127&lt;&gt;"",F127&lt;&gt;"",COUNTIF(Accounts!$A$5:$A$50,E127)=1,COUNTIFS(Categories!$A$5:$A$100,F127,Categories!$C$5:$C$100,"Expense")=1),AND(B127="Transfer",D127&lt;&gt;"",E127&lt;&gt;"",D127&lt;&gt;E127,F127="",COUNTIF(Accounts!$A$5:$A$50,D127)=1,COUNTIF(Accounts!$A$5:$A$50,E127)=1),AND(B127="Allocation",F127="Savings &amp; Investment",OR(AND(D127&lt;&gt;"",E127="",COUNTIFS(Accounts!$A$5:$A$50,D127,Accounts!$D$5:$D$50,"Asset")=1),AND(D127="",E127&lt;&gt;"",COUNTIFS(Accounts!$A$5:$A$50,E127,Accounts!$D$5:$D$50,"Asset")=1))),AND(B127="Adjustment",F127="",OR(AND(D127&lt;&gt;"",E127="",COUNTIF(Accounts!$A$5:$A$50,D127)=1),AND(D127="",E127&lt;&gt;"",COUNTIF(Accounts!$A$5:$A$50,E127)=1)))),"OK","CHECK: Type / account / category combination")))</f>
        <v/>
      </c>
    </row>
    <row r="128" spans="1:9">
      <c r="A128" s="56"/>
      <c r="C128" s="57"/>
      <c r="I128" s="13" t="str">
        <f>IF(COUNTA(A128:H128)=0,"",IF(OR(A128="",B128="",C128="",C128&lt;=0),"CHECK: Date, Type and positive Amount required",IF(OR(AND(B128="Income",D128="",E128&lt;&gt;"",F128&lt;&gt;"",COUNTIFS(Accounts!$A$5:$A$50,E128,Accounts!$D$5:$D$50,"Asset")=1,COUNTIFS(Categories!$A$5:$A$100,F128,Categories!$C$5:$C$100,"Income")=1),AND(B128="Expense",D128&lt;&gt;"",E128="",F128&lt;&gt;"",COUNTIF(Accounts!$A$5:$A$50,D128)=1,COUNTIFS(Categories!$A$5:$A$100,F128,Categories!$C$5:$C$100,"Expense")=1),AND(B128="Refund",D128="",E128&lt;&gt;"",F128&lt;&gt;"",COUNTIF(Accounts!$A$5:$A$50,E128)=1,COUNTIFS(Categories!$A$5:$A$100,F128,Categories!$C$5:$C$100,"Expense")=1),AND(B128="Transfer",D128&lt;&gt;"",E128&lt;&gt;"",D128&lt;&gt;E128,F128="",COUNTIF(Accounts!$A$5:$A$50,D128)=1,COUNTIF(Accounts!$A$5:$A$50,E128)=1),AND(B128="Allocation",F128="Savings &amp; Investment",OR(AND(D128&lt;&gt;"",E128="",COUNTIFS(Accounts!$A$5:$A$50,D128,Accounts!$D$5:$D$50,"Asset")=1),AND(D128="",E128&lt;&gt;"",COUNTIFS(Accounts!$A$5:$A$50,E128,Accounts!$D$5:$D$50,"Asset")=1))),AND(B128="Adjustment",F128="",OR(AND(D128&lt;&gt;"",E128="",COUNTIF(Accounts!$A$5:$A$50,D128)=1),AND(D128="",E128&lt;&gt;"",COUNTIF(Accounts!$A$5:$A$50,E128)=1)))),"OK","CHECK: Type / account / category combination")))</f>
        <v/>
      </c>
    </row>
    <row r="129" spans="1:9">
      <c r="A129" s="56"/>
      <c r="C129" s="57"/>
      <c r="I129" s="13" t="str">
        <f>IF(COUNTA(A129:H129)=0,"",IF(OR(A129="",B129="",C129="",C129&lt;=0),"CHECK: Date, Type and positive Amount required",IF(OR(AND(B129="Income",D129="",E129&lt;&gt;"",F129&lt;&gt;"",COUNTIFS(Accounts!$A$5:$A$50,E129,Accounts!$D$5:$D$50,"Asset")=1,COUNTIFS(Categories!$A$5:$A$100,F129,Categories!$C$5:$C$100,"Income")=1),AND(B129="Expense",D129&lt;&gt;"",E129="",F129&lt;&gt;"",COUNTIF(Accounts!$A$5:$A$50,D129)=1,COUNTIFS(Categories!$A$5:$A$100,F129,Categories!$C$5:$C$100,"Expense")=1),AND(B129="Refund",D129="",E129&lt;&gt;"",F129&lt;&gt;"",COUNTIF(Accounts!$A$5:$A$50,E129)=1,COUNTIFS(Categories!$A$5:$A$100,F129,Categories!$C$5:$C$100,"Expense")=1),AND(B129="Transfer",D129&lt;&gt;"",E129&lt;&gt;"",D129&lt;&gt;E129,F129="",COUNTIF(Accounts!$A$5:$A$50,D129)=1,COUNTIF(Accounts!$A$5:$A$50,E129)=1),AND(B129="Allocation",F129="Savings &amp; Investment",OR(AND(D129&lt;&gt;"",E129="",COUNTIFS(Accounts!$A$5:$A$50,D129,Accounts!$D$5:$D$50,"Asset")=1),AND(D129="",E129&lt;&gt;"",COUNTIFS(Accounts!$A$5:$A$50,E129,Accounts!$D$5:$D$50,"Asset")=1))),AND(B129="Adjustment",F129="",OR(AND(D129&lt;&gt;"",E129="",COUNTIF(Accounts!$A$5:$A$50,D129)=1),AND(D129="",E129&lt;&gt;"",COUNTIF(Accounts!$A$5:$A$50,E129)=1)))),"OK","CHECK: Type / account / category combination")))</f>
        <v/>
      </c>
    </row>
    <row r="130" spans="1:9">
      <c r="A130" s="56"/>
      <c r="C130" s="57"/>
      <c r="I130" s="13" t="str">
        <f>IF(COUNTA(A130:H130)=0,"",IF(OR(A130="",B130="",C130="",C130&lt;=0),"CHECK: Date, Type and positive Amount required",IF(OR(AND(B130="Income",D130="",E130&lt;&gt;"",F130&lt;&gt;"",COUNTIFS(Accounts!$A$5:$A$50,E130,Accounts!$D$5:$D$50,"Asset")=1,COUNTIFS(Categories!$A$5:$A$100,F130,Categories!$C$5:$C$100,"Income")=1),AND(B130="Expense",D130&lt;&gt;"",E130="",F130&lt;&gt;"",COUNTIF(Accounts!$A$5:$A$50,D130)=1,COUNTIFS(Categories!$A$5:$A$100,F130,Categories!$C$5:$C$100,"Expense")=1),AND(B130="Refund",D130="",E130&lt;&gt;"",F130&lt;&gt;"",COUNTIF(Accounts!$A$5:$A$50,E130)=1,COUNTIFS(Categories!$A$5:$A$100,F130,Categories!$C$5:$C$100,"Expense")=1),AND(B130="Transfer",D130&lt;&gt;"",E130&lt;&gt;"",D130&lt;&gt;E130,F130="",COUNTIF(Accounts!$A$5:$A$50,D130)=1,COUNTIF(Accounts!$A$5:$A$50,E130)=1),AND(B130="Allocation",F130="Savings &amp; Investment",OR(AND(D130&lt;&gt;"",E130="",COUNTIFS(Accounts!$A$5:$A$50,D130,Accounts!$D$5:$D$50,"Asset")=1),AND(D130="",E130&lt;&gt;"",COUNTIFS(Accounts!$A$5:$A$50,E130,Accounts!$D$5:$D$50,"Asset")=1))),AND(B130="Adjustment",F130="",OR(AND(D130&lt;&gt;"",E130="",COUNTIF(Accounts!$A$5:$A$50,D130)=1),AND(D130="",E130&lt;&gt;"",COUNTIF(Accounts!$A$5:$A$50,E130)=1)))),"OK","CHECK: Type / account / category combination")))</f>
        <v/>
      </c>
    </row>
    <row r="131" spans="1:9">
      <c r="A131" s="56"/>
      <c r="C131" s="57"/>
      <c r="I131" s="13" t="str">
        <f>IF(COUNTA(A131:H131)=0,"",IF(OR(A131="",B131="",C131="",C131&lt;=0),"CHECK: Date, Type and positive Amount required",IF(OR(AND(B131="Income",D131="",E131&lt;&gt;"",F131&lt;&gt;"",COUNTIFS(Accounts!$A$5:$A$50,E131,Accounts!$D$5:$D$50,"Asset")=1,COUNTIFS(Categories!$A$5:$A$100,F131,Categories!$C$5:$C$100,"Income")=1),AND(B131="Expense",D131&lt;&gt;"",E131="",F131&lt;&gt;"",COUNTIF(Accounts!$A$5:$A$50,D131)=1,COUNTIFS(Categories!$A$5:$A$100,F131,Categories!$C$5:$C$100,"Expense")=1),AND(B131="Refund",D131="",E131&lt;&gt;"",F131&lt;&gt;"",COUNTIF(Accounts!$A$5:$A$50,E131)=1,COUNTIFS(Categories!$A$5:$A$100,F131,Categories!$C$5:$C$100,"Expense")=1),AND(B131="Transfer",D131&lt;&gt;"",E131&lt;&gt;"",D131&lt;&gt;E131,F131="",COUNTIF(Accounts!$A$5:$A$50,D131)=1,COUNTIF(Accounts!$A$5:$A$50,E131)=1),AND(B131="Allocation",F131="Savings &amp; Investment",OR(AND(D131&lt;&gt;"",E131="",COUNTIFS(Accounts!$A$5:$A$50,D131,Accounts!$D$5:$D$50,"Asset")=1),AND(D131="",E131&lt;&gt;"",COUNTIFS(Accounts!$A$5:$A$50,E131,Accounts!$D$5:$D$50,"Asset")=1))),AND(B131="Adjustment",F131="",OR(AND(D131&lt;&gt;"",E131="",COUNTIF(Accounts!$A$5:$A$50,D131)=1),AND(D131="",E131&lt;&gt;"",COUNTIF(Accounts!$A$5:$A$50,E131)=1)))),"OK","CHECK: Type / account / category combination")))</f>
        <v/>
      </c>
    </row>
    <row r="132" spans="1:9">
      <c r="A132" s="56"/>
      <c r="C132" s="57"/>
      <c r="I132" s="13" t="str">
        <f>IF(COUNTA(A132:H132)=0,"",IF(OR(A132="",B132="",C132="",C132&lt;=0),"CHECK: Date, Type and positive Amount required",IF(OR(AND(B132="Income",D132="",E132&lt;&gt;"",F132&lt;&gt;"",COUNTIFS(Accounts!$A$5:$A$50,E132,Accounts!$D$5:$D$50,"Asset")=1,COUNTIFS(Categories!$A$5:$A$100,F132,Categories!$C$5:$C$100,"Income")=1),AND(B132="Expense",D132&lt;&gt;"",E132="",F132&lt;&gt;"",COUNTIF(Accounts!$A$5:$A$50,D132)=1,COUNTIFS(Categories!$A$5:$A$100,F132,Categories!$C$5:$C$100,"Expense")=1),AND(B132="Refund",D132="",E132&lt;&gt;"",F132&lt;&gt;"",COUNTIF(Accounts!$A$5:$A$50,E132)=1,COUNTIFS(Categories!$A$5:$A$100,F132,Categories!$C$5:$C$100,"Expense")=1),AND(B132="Transfer",D132&lt;&gt;"",E132&lt;&gt;"",D132&lt;&gt;E132,F132="",COUNTIF(Accounts!$A$5:$A$50,D132)=1,COUNTIF(Accounts!$A$5:$A$50,E132)=1),AND(B132="Allocation",F132="Savings &amp; Investment",OR(AND(D132&lt;&gt;"",E132="",COUNTIFS(Accounts!$A$5:$A$50,D132,Accounts!$D$5:$D$50,"Asset")=1),AND(D132="",E132&lt;&gt;"",COUNTIFS(Accounts!$A$5:$A$50,E132,Accounts!$D$5:$D$50,"Asset")=1))),AND(B132="Adjustment",F132="",OR(AND(D132&lt;&gt;"",E132="",COUNTIF(Accounts!$A$5:$A$50,D132)=1),AND(D132="",E132&lt;&gt;"",COUNTIF(Accounts!$A$5:$A$50,E132)=1)))),"OK","CHECK: Type / account / category combination")))</f>
        <v/>
      </c>
    </row>
    <row r="133" spans="1:9">
      <c r="A133" s="56"/>
      <c r="C133" s="57"/>
      <c r="I133" s="13" t="str">
        <f>IF(COUNTA(A133:H133)=0,"",IF(OR(A133="",B133="",C133="",C133&lt;=0),"CHECK: Date, Type and positive Amount required",IF(OR(AND(B133="Income",D133="",E133&lt;&gt;"",F133&lt;&gt;"",COUNTIFS(Accounts!$A$5:$A$50,E133,Accounts!$D$5:$D$50,"Asset")=1,COUNTIFS(Categories!$A$5:$A$100,F133,Categories!$C$5:$C$100,"Income")=1),AND(B133="Expense",D133&lt;&gt;"",E133="",F133&lt;&gt;"",COUNTIF(Accounts!$A$5:$A$50,D133)=1,COUNTIFS(Categories!$A$5:$A$100,F133,Categories!$C$5:$C$100,"Expense")=1),AND(B133="Refund",D133="",E133&lt;&gt;"",F133&lt;&gt;"",COUNTIF(Accounts!$A$5:$A$50,E133)=1,COUNTIFS(Categories!$A$5:$A$100,F133,Categories!$C$5:$C$100,"Expense")=1),AND(B133="Transfer",D133&lt;&gt;"",E133&lt;&gt;"",D133&lt;&gt;E133,F133="",COUNTIF(Accounts!$A$5:$A$50,D133)=1,COUNTIF(Accounts!$A$5:$A$50,E133)=1),AND(B133="Allocation",F133="Savings &amp; Investment",OR(AND(D133&lt;&gt;"",E133="",COUNTIFS(Accounts!$A$5:$A$50,D133,Accounts!$D$5:$D$50,"Asset")=1),AND(D133="",E133&lt;&gt;"",COUNTIFS(Accounts!$A$5:$A$50,E133,Accounts!$D$5:$D$50,"Asset")=1))),AND(B133="Adjustment",F133="",OR(AND(D133&lt;&gt;"",E133="",COUNTIF(Accounts!$A$5:$A$50,D133)=1),AND(D133="",E133&lt;&gt;"",COUNTIF(Accounts!$A$5:$A$50,E133)=1)))),"OK","CHECK: Type / account / category combination")))</f>
        <v/>
      </c>
    </row>
    <row r="134" spans="1:9">
      <c r="A134" s="56"/>
      <c r="C134" s="57"/>
      <c r="I134" s="13" t="str">
        <f>IF(COUNTA(A134:H134)=0,"",IF(OR(A134="",B134="",C134="",C134&lt;=0),"CHECK: Date, Type and positive Amount required",IF(OR(AND(B134="Income",D134="",E134&lt;&gt;"",F134&lt;&gt;"",COUNTIFS(Accounts!$A$5:$A$50,E134,Accounts!$D$5:$D$50,"Asset")=1,COUNTIFS(Categories!$A$5:$A$100,F134,Categories!$C$5:$C$100,"Income")=1),AND(B134="Expense",D134&lt;&gt;"",E134="",F134&lt;&gt;"",COUNTIF(Accounts!$A$5:$A$50,D134)=1,COUNTIFS(Categories!$A$5:$A$100,F134,Categories!$C$5:$C$100,"Expense")=1),AND(B134="Refund",D134="",E134&lt;&gt;"",F134&lt;&gt;"",COUNTIF(Accounts!$A$5:$A$50,E134)=1,COUNTIFS(Categories!$A$5:$A$100,F134,Categories!$C$5:$C$100,"Expense")=1),AND(B134="Transfer",D134&lt;&gt;"",E134&lt;&gt;"",D134&lt;&gt;E134,F134="",COUNTIF(Accounts!$A$5:$A$50,D134)=1,COUNTIF(Accounts!$A$5:$A$50,E134)=1),AND(B134="Allocation",F134="Savings &amp; Investment",OR(AND(D134&lt;&gt;"",E134="",COUNTIFS(Accounts!$A$5:$A$50,D134,Accounts!$D$5:$D$50,"Asset")=1),AND(D134="",E134&lt;&gt;"",COUNTIFS(Accounts!$A$5:$A$50,E134,Accounts!$D$5:$D$50,"Asset")=1))),AND(B134="Adjustment",F134="",OR(AND(D134&lt;&gt;"",E134="",COUNTIF(Accounts!$A$5:$A$50,D134)=1),AND(D134="",E134&lt;&gt;"",COUNTIF(Accounts!$A$5:$A$50,E134)=1)))),"OK","CHECK: Type / account / category combination")))</f>
        <v/>
      </c>
    </row>
    <row r="135" spans="1:9">
      <c r="A135" s="56"/>
      <c r="C135" s="57"/>
      <c r="I135" s="13" t="str">
        <f>IF(COUNTA(A135:H135)=0,"",IF(OR(A135="",B135="",C135="",C135&lt;=0),"CHECK: Date, Type and positive Amount required",IF(OR(AND(B135="Income",D135="",E135&lt;&gt;"",F135&lt;&gt;"",COUNTIFS(Accounts!$A$5:$A$50,E135,Accounts!$D$5:$D$50,"Asset")=1,COUNTIFS(Categories!$A$5:$A$100,F135,Categories!$C$5:$C$100,"Income")=1),AND(B135="Expense",D135&lt;&gt;"",E135="",F135&lt;&gt;"",COUNTIF(Accounts!$A$5:$A$50,D135)=1,COUNTIFS(Categories!$A$5:$A$100,F135,Categories!$C$5:$C$100,"Expense")=1),AND(B135="Refund",D135="",E135&lt;&gt;"",F135&lt;&gt;"",COUNTIF(Accounts!$A$5:$A$50,E135)=1,COUNTIFS(Categories!$A$5:$A$100,F135,Categories!$C$5:$C$100,"Expense")=1),AND(B135="Transfer",D135&lt;&gt;"",E135&lt;&gt;"",D135&lt;&gt;E135,F135="",COUNTIF(Accounts!$A$5:$A$50,D135)=1,COUNTIF(Accounts!$A$5:$A$50,E135)=1),AND(B135="Allocation",F135="Savings &amp; Investment",OR(AND(D135&lt;&gt;"",E135="",COUNTIFS(Accounts!$A$5:$A$50,D135,Accounts!$D$5:$D$50,"Asset")=1),AND(D135="",E135&lt;&gt;"",COUNTIFS(Accounts!$A$5:$A$50,E135,Accounts!$D$5:$D$50,"Asset")=1))),AND(B135="Adjustment",F135="",OR(AND(D135&lt;&gt;"",E135="",COUNTIF(Accounts!$A$5:$A$50,D135)=1),AND(D135="",E135&lt;&gt;"",COUNTIF(Accounts!$A$5:$A$50,E135)=1)))),"OK","CHECK: Type / account / category combination")))</f>
        <v/>
      </c>
    </row>
    <row r="136" spans="1:9">
      <c r="A136" s="56"/>
      <c r="C136" s="57"/>
      <c r="I136" s="13" t="str">
        <f>IF(COUNTA(A136:H136)=0,"",IF(OR(A136="",B136="",C136="",C136&lt;=0),"CHECK: Date, Type and positive Amount required",IF(OR(AND(B136="Income",D136="",E136&lt;&gt;"",F136&lt;&gt;"",COUNTIFS(Accounts!$A$5:$A$50,E136,Accounts!$D$5:$D$50,"Asset")=1,COUNTIFS(Categories!$A$5:$A$100,F136,Categories!$C$5:$C$100,"Income")=1),AND(B136="Expense",D136&lt;&gt;"",E136="",F136&lt;&gt;"",COUNTIF(Accounts!$A$5:$A$50,D136)=1,COUNTIFS(Categories!$A$5:$A$100,F136,Categories!$C$5:$C$100,"Expense")=1),AND(B136="Refund",D136="",E136&lt;&gt;"",F136&lt;&gt;"",COUNTIF(Accounts!$A$5:$A$50,E136)=1,COUNTIFS(Categories!$A$5:$A$100,F136,Categories!$C$5:$C$100,"Expense")=1),AND(B136="Transfer",D136&lt;&gt;"",E136&lt;&gt;"",D136&lt;&gt;E136,F136="",COUNTIF(Accounts!$A$5:$A$50,D136)=1,COUNTIF(Accounts!$A$5:$A$50,E136)=1),AND(B136="Allocation",F136="Savings &amp; Investment",OR(AND(D136&lt;&gt;"",E136="",COUNTIFS(Accounts!$A$5:$A$50,D136,Accounts!$D$5:$D$50,"Asset")=1),AND(D136="",E136&lt;&gt;"",COUNTIFS(Accounts!$A$5:$A$50,E136,Accounts!$D$5:$D$50,"Asset")=1))),AND(B136="Adjustment",F136="",OR(AND(D136&lt;&gt;"",E136="",COUNTIF(Accounts!$A$5:$A$50,D136)=1),AND(D136="",E136&lt;&gt;"",COUNTIF(Accounts!$A$5:$A$50,E136)=1)))),"OK","CHECK: Type / account / category combination")))</f>
        <v/>
      </c>
    </row>
    <row r="137" spans="1:9">
      <c r="A137" s="56"/>
      <c r="C137" s="57"/>
      <c r="I137" s="13" t="str">
        <f>IF(COUNTA(A137:H137)=0,"",IF(OR(A137="",B137="",C137="",C137&lt;=0),"CHECK: Date, Type and positive Amount required",IF(OR(AND(B137="Income",D137="",E137&lt;&gt;"",F137&lt;&gt;"",COUNTIFS(Accounts!$A$5:$A$50,E137,Accounts!$D$5:$D$50,"Asset")=1,COUNTIFS(Categories!$A$5:$A$100,F137,Categories!$C$5:$C$100,"Income")=1),AND(B137="Expense",D137&lt;&gt;"",E137="",F137&lt;&gt;"",COUNTIF(Accounts!$A$5:$A$50,D137)=1,COUNTIFS(Categories!$A$5:$A$100,F137,Categories!$C$5:$C$100,"Expense")=1),AND(B137="Refund",D137="",E137&lt;&gt;"",F137&lt;&gt;"",COUNTIF(Accounts!$A$5:$A$50,E137)=1,COUNTIFS(Categories!$A$5:$A$100,F137,Categories!$C$5:$C$100,"Expense")=1),AND(B137="Transfer",D137&lt;&gt;"",E137&lt;&gt;"",D137&lt;&gt;E137,F137="",COUNTIF(Accounts!$A$5:$A$50,D137)=1,COUNTIF(Accounts!$A$5:$A$50,E137)=1),AND(B137="Allocation",F137="Savings &amp; Investment",OR(AND(D137&lt;&gt;"",E137="",COUNTIFS(Accounts!$A$5:$A$50,D137,Accounts!$D$5:$D$50,"Asset")=1),AND(D137="",E137&lt;&gt;"",COUNTIFS(Accounts!$A$5:$A$50,E137,Accounts!$D$5:$D$50,"Asset")=1))),AND(B137="Adjustment",F137="",OR(AND(D137&lt;&gt;"",E137="",COUNTIF(Accounts!$A$5:$A$50,D137)=1),AND(D137="",E137&lt;&gt;"",COUNTIF(Accounts!$A$5:$A$50,E137)=1)))),"OK","CHECK: Type / account / category combination")))</f>
        <v/>
      </c>
    </row>
    <row r="138" spans="1:9">
      <c r="A138" s="56"/>
      <c r="C138" s="57"/>
      <c r="I138" s="13" t="str">
        <f>IF(COUNTA(A138:H138)=0,"",IF(OR(A138="",B138="",C138="",C138&lt;=0),"CHECK: Date, Type and positive Amount required",IF(OR(AND(B138="Income",D138="",E138&lt;&gt;"",F138&lt;&gt;"",COUNTIFS(Accounts!$A$5:$A$50,E138,Accounts!$D$5:$D$50,"Asset")=1,COUNTIFS(Categories!$A$5:$A$100,F138,Categories!$C$5:$C$100,"Income")=1),AND(B138="Expense",D138&lt;&gt;"",E138="",F138&lt;&gt;"",COUNTIF(Accounts!$A$5:$A$50,D138)=1,COUNTIFS(Categories!$A$5:$A$100,F138,Categories!$C$5:$C$100,"Expense")=1),AND(B138="Refund",D138="",E138&lt;&gt;"",F138&lt;&gt;"",COUNTIF(Accounts!$A$5:$A$50,E138)=1,COUNTIFS(Categories!$A$5:$A$100,F138,Categories!$C$5:$C$100,"Expense")=1),AND(B138="Transfer",D138&lt;&gt;"",E138&lt;&gt;"",D138&lt;&gt;E138,F138="",COUNTIF(Accounts!$A$5:$A$50,D138)=1,COUNTIF(Accounts!$A$5:$A$50,E138)=1),AND(B138="Allocation",F138="Savings &amp; Investment",OR(AND(D138&lt;&gt;"",E138="",COUNTIFS(Accounts!$A$5:$A$50,D138,Accounts!$D$5:$D$50,"Asset")=1),AND(D138="",E138&lt;&gt;"",COUNTIFS(Accounts!$A$5:$A$50,E138,Accounts!$D$5:$D$50,"Asset")=1))),AND(B138="Adjustment",F138="",OR(AND(D138&lt;&gt;"",E138="",COUNTIF(Accounts!$A$5:$A$50,D138)=1),AND(D138="",E138&lt;&gt;"",COUNTIF(Accounts!$A$5:$A$50,E138)=1)))),"OK","CHECK: Type / account / category combination")))</f>
        <v/>
      </c>
    </row>
    <row r="139" spans="1:9">
      <c r="A139" s="56"/>
      <c r="C139" s="57"/>
      <c r="I139" s="13" t="str">
        <f>IF(COUNTA(A139:H139)=0,"",IF(OR(A139="",B139="",C139="",C139&lt;=0),"CHECK: Date, Type and positive Amount required",IF(OR(AND(B139="Income",D139="",E139&lt;&gt;"",F139&lt;&gt;"",COUNTIFS(Accounts!$A$5:$A$50,E139,Accounts!$D$5:$D$50,"Asset")=1,COUNTIFS(Categories!$A$5:$A$100,F139,Categories!$C$5:$C$100,"Income")=1),AND(B139="Expense",D139&lt;&gt;"",E139="",F139&lt;&gt;"",COUNTIF(Accounts!$A$5:$A$50,D139)=1,COUNTIFS(Categories!$A$5:$A$100,F139,Categories!$C$5:$C$100,"Expense")=1),AND(B139="Refund",D139="",E139&lt;&gt;"",F139&lt;&gt;"",COUNTIF(Accounts!$A$5:$A$50,E139)=1,COUNTIFS(Categories!$A$5:$A$100,F139,Categories!$C$5:$C$100,"Expense")=1),AND(B139="Transfer",D139&lt;&gt;"",E139&lt;&gt;"",D139&lt;&gt;E139,F139="",COUNTIF(Accounts!$A$5:$A$50,D139)=1,COUNTIF(Accounts!$A$5:$A$50,E139)=1),AND(B139="Allocation",F139="Savings &amp; Investment",OR(AND(D139&lt;&gt;"",E139="",COUNTIFS(Accounts!$A$5:$A$50,D139,Accounts!$D$5:$D$50,"Asset")=1),AND(D139="",E139&lt;&gt;"",COUNTIFS(Accounts!$A$5:$A$50,E139,Accounts!$D$5:$D$50,"Asset")=1))),AND(B139="Adjustment",F139="",OR(AND(D139&lt;&gt;"",E139="",COUNTIF(Accounts!$A$5:$A$50,D139)=1),AND(D139="",E139&lt;&gt;"",COUNTIF(Accounts!$A$5:$A$50,E139)=1)))),"OK","CHECK: Type / account / category combination")))</f>
        <v/>
      </c>
    </row>
    <row r="140" spans="1:9">
      <c r="A140" s="56"/>
      <c r="C140" s="57"/>
      <c r="I140" s="13" t="str">
        <f>IF(COUNTA(A140:H140)=0,"",IF(OR(A140="",B140="",C140="",C140&lt;=0),"CHECK: Date, Type and positive Amount required",IF(OR(AND(B140="Income",D140="",E140&lt;&gt;"",F140&lt;&gt;"",COUNTIFS(Accounts!$A$5:$A$50,E140,Accounts!$D$5:$D$50,"Asset")=1,COUNTIFS(Categories!$A$5:$A$100,F140,Categories!$C$5:$C$100,"Income")=1),AND(B140="Expense",D140&lt;&gt;"",E140="",F140&lt;&gt;"",COUNTIF(Accounts!$A$5:$A$50,D140)=1,COUNTIFS(Categories!$A$5:$A$100,F140,Categories!$C$5:$C$100,"Expense")=1),AND(B140="Refund",D140="",E140&lt;&gt;"",F140&lt;&gt;"",COUNTIF(Accounts!$A$5:$A$50,E140)=1,COUNTIFS(Categories!$A$5:$A$100,F140,Categories!$C$5:$C$100,"Expense")=1),AND(B140="Transfer",D140&lt;&gt;"",E140&lt;&gt;"",D140&lt;&gt;E140,F140="",COUNTIF(Accounts!$A$5:$A$50,D140)=1,COUNTIF(Accounts!$A$5:$A$50,E140)=1),AND(B140="Allocation",F140="Savings &amp; Investment",OR(AND(D140&lt;&gt;"",E140="",COUNTIFS(Accounts!$A$5:$A$50,D140,Accounts!$D$5:$D$50,"Asset")=1),AND(D140="",E140&lt;&gt;"",COUNTIFS(Accounts!$A$5:$A$50,E140,Accounts!$D$5:$D$50,"Asset")=1))),AND(B140="Adjustment",F140="",OR(AND(D140&lt;&gt;"",E140="",COUNTIF(Accounts!$A$5:$A$50,D140)=1),AND(D140="",E140&lt;&gt;"",COUNTIF(Accounts!$A$5:$A$50,E140)=1)))),"OK","CHECK: Type / account / category combination")))</f>
        <v/>
      </c>
    </row>
    <row r="141" spans="1:9">
      <c r="A141" s="56"/>
      <c r="C141" s="57"/>
      <c r="I141" s="13" t="str">
        <f>IF(COUNTA(A141:H141)=0,"",IF(OR(A141="",B141="",C141="",C141&lt;=0),"CHECK: Date, Type and positive Amount required",IF(OR(AND(B141="Income",D141="",E141&lt;&gt;"",F141&lt;&gt;"",COUNTIFS(Accounts!$A$5:$A$50,E141,Accounts!$D$5:$D$50,"Asset")=1,COUNTIFS(Categories!$A$5:$A$100,F141,Categories!$C$5:$C$100,"Income")=1),AND(B141="Expense",D141&lt;&gt;"",E141="",F141&lt;&gt;"",COUNTIF(Accounts!$A$5:$A$50,D141)=1,COUNTIFS(Categories!$A$5:$A$100,F141,Categories!$C$5:$C$100,"Expense")=1),AND(B141="Refund",D141="",E141&lt;&gt;"",F141&lt;&gt;"",COUNTIF(Accounts!$A$5:$A$50,E141)=1,COUNTIFS(Categories!$A$5:$A$100,F141,Categories!$C$5:$C$100,"Expense")=1),AND(B141="Transfer",D141&lt;&gt;"",E141&lt;&gt;"",D141&lt;&gt;E141,F141="",COUNTIF(Accounts!$A$5:$A$50,D141)=1,COUNTIF(Accounts!$A$5:$A$50,E141)=1),AND(B141="Allocation",F141="Savings &amp; Investment",OR(AND(D141&lt;&gt;"",E141="",COUNTIFS(Accounts!$A$5:$A$50,D141,Accounts!$D$5:$D$50,"Asset")=1),AND(D141="",E141&lt;&gt;"",COUNTIFS(Accounts!$A$5:$A$50,E141,Accounts!$D$5:$D$50,"Asset")=1))),AND(B141="Adjustment",F141="",OR(AND(D141&lt;&gt;"",E141="",COUNTIF(Accounts!$A$5:$A$50,D141)=1),AND(D141="",E141&lt;&gt;"",COUNTIF(Accounts!$A$5:$A$50,E141)=1)))),"OK","CHECK: Type / account / category combination")))</f>
        <v/>
      </c>
    </row>
    <row r="142" spans="1:9">
      <c r="A142" s="56"/>
      <c r="C142" s="57"/>
      <c r="I142" s="13" t="str">
        <f>IF(COUNTA(A142:H142)=0,"",IF(OR(A142="",B142="",C142="",C142&lt;=0),"CHECK: Date, Type and positive Amount required",IF(OR(AND(B142="Income",D142="",E142&lt;&gt;"",F142&lt;&gt;"",COUNTIFS(Accounts!$A$5:$A$50,E142,Accounts!$D$5:$D$50,"Asset")=1,COUNTIFS(Categories!$A$5:$A$100,F142,Categories!$C$5:$C$100,"Income")=1),AND(B142="Expense",D142&lt;&gt;"",E142="",F142&lt;&gt;"",COUNTIF(Accounts!$A$5:$A$50,D142)=1,COUNTIFS(Categories!$A$5:$A$100,F142,Categories!$C$5:$C$100,"Expense")=1),AND(B142="Refund",D142="",E142&lt;&gt;"",F142&lt;&gt;"",COUNTIF(Accounts!$A$5:$A$50,E142)=1,COUNTIFS(Categories!$A$5:$A$100,F142,Categories!$C$5:$C$100,"Expense")=1),AND(B142="Transfer",D142&lt;&gt;"",E142&lt;&gt;"",D142&lt;&gt;E142,F142="",COUNTIF(Accounts!$A$5:$A$50,D142)=1,COUNTIF(Accounts!$A$5:$A$50,E142)=1),AND(B142="Allocation",F142="Savings &amp; Investment",OR(AND(D142&lt;&gt;"",E142="",COUNTIFS(Accounts!$A$5:$A$50,D142,Accounts!$D$5:$D$50,"Asset")=1),AND(D142="",E142&lt;&gt;"",COUNTIFS(Accounts!$A$5:$A$50,E142,Accounts!$D$5:$D$50,"Asset")=1))),AND(B142="Adjustment",F142="",OR(AND(D142&lt;&gt;"",E142="",COUNTIF(Accounts!$A$5:$A$50,D142)=1),AND(D142="",E142&lt;&gt;"",COUNTIF(Accounts!$A$5:$A$50,E142)=1)))),"OK","CHECK: Type / account / category combination")))</f>
        <v/>
      </c>
    </row>
    <row r="143" spans="1:9">
      <c r="A143" s="56"/>
      <c r="C143" s="57"/>
      <c r="I143" s="13" t="str">
        <f>IF(COUNTA(A143:H143)=0,"",IF(OR(A143="",B143="",C143="",C143&lt;=0),"CHECK: Date, Type and positive Amount required",IF(OR(AND(B143="Income",D143="",E143&lt;&gt;"",F143&lt;&gt;"",COUNTIFS(Accounts!$A$5:$A$50,E143,Accounts!$D$5:$D$50,"Asset")=1,COUNTIFS(Categories!$A$5:$A$100,F143,Categories!$C$5:$C$100,"Income")=1),AND(B143="Expense",D143&lt;&gt;"",E143="",F143&lt;&gt;"",COUNTIF(Accounts!$A$5:$A$50,D143)=1,COUNTIFS(Categories!$A$5:$A$100,F143,Categories!$C$5:$C$100,"Expense")=1),AND(B143="Refund",D143="",E143&lt;&gt;"",F143&lt;&gt;"",COUNTIF(Accounts!$A$5:$A$50,E143)=1,COUNTIFS(Categories!$A$5:$A$100,F143,Categories!$C$5:$C$100,"Expense")=1),AND(B143="Transfer",D143&lt;&gt;"",E143&lt;&gt;"",D143&lt;&gt;E143,F143="",COUNTIF(Accounts!$A$5:$A$50,D143)=1,COUNTIF(Accounts!$A$5:$A$50,E143)=1),AND(B143="Allocation",F143="Savings &amp; Investment",OR(AND(D143&lt;&gt;"",E143="",COUNTIFS(Accounts!$A$5:$A$50,D143,Accounts!$D$5:$D$50,"Asset")=1),AND(D143="",E143&lt;&gt;"",COUNTIFS(Accounts!$A$5:$A$50,E143,Accounts!$D$5:$D$50,"Asset")=1))),AND(B143="Adjustment",F143="",OR(AND(D143&lt;&gt;"",E143="",COUNTIF(Accounts!$A$5:$A$50,D143)=1),AND(D143="",E143&lt;&gt;"",COUNTIF(Accounts!$A$5:$A$50,E143)=1)))),"OK","CHECK: Type / account / category combination")))</f>
        <v/>
      </c>
    </row>
    <row r="144" spans="1:9">
      <c r="A144" s="56"/>
      <c r="C144" s="57"/>
      <c r="I144" s="13" t="str">
        <f>IF(COUNTA(A144:H144)=0,"",IF(OR(A144="",B144="",C144="",C144&lt;=0),"CHECK: Date, Type and positive Amount required",IF(OR(AND(B144="Income",D144="",E144&lt;&gt;"",F144&lt;&gt;"",COUNTIFS(Accounts!$A$5:$A$50,E144,Accounts!$D$5:$D$50,"Asset")=1,COUNTIFS(Categories!$A$5:$A$100,F144,Categories!$C$5:$C$100,"Income")=1),AND(B144="Expense",D144&lt;&gt;"",E144="",F144&lt;&gt;"",COUNTIF(Accounts!$A$5:$A$50,D144)=1,COUNTIFS(Categories!$A$5:$A$100,F144,Categories!$C$5:$C$100,"Expense")=1),AND(B144="Refund",D144="",E144&lt;&gt;"",F144&lt;&gt;"",COUNTIF(Accounts!$A$5:$A$50,E144)=1,COUNTIFS(Categories!$A$5:$A$100,F144,Categories!$C$5:$C$100,"Expense")=1),AND(B144="Transfer",D144&lt;&gt;"",E144&lt;&gt;"",D144&lt;&gt;E144,F144="",COUNTIF(Accounts!$A$5:$A$50,D144)=1,COUNTIF(Accounts!$A$5:$A$50,E144)=1),AND(B144="Allocation",F144="Savings &amp; Investment",OR(AND(D144&lt;&gt;"",E144="",COUNTIFS(Accounts!$A$5:$A$50,D144,Accounts!$D$5:$D$50,"Asset")=1),AND(D144="",E144&lt;&gt;"",COUNTIFS(Accounts!$A$5:$A$50,E144,Accounts!$D$5:$D$50,"Asset")=1))),AND(B144="Adjustment",F144="",OR(AND(D144&lt;&gt;"",E144="",COUNTIF(Accounts!$A$5:$A$50,D144)=1),AND(D144="",E144&lt;&gt;"",COUNTIF(Accounts!$A$5:$A$50,E144)=1)))),"OK","CHECK: Type / account / category combination")))</f>
        <v/>
      </c>
    </row>
    <row r="145" spans="1:9">
      <c r="A145" s="56"/>
      <c r="C145" s="57"/>
      <c r="I145" s="13" t="str">
        <f>IF(COUNTA(A145:H145)=0,"",IF(OR(A145="",B145="",C145="",C145&lt;=0),"CHECK: Date, Type and positive Amount required",IF(OR(AND(B145="Income",D145="",E145&lt;&gt;"",F145&lt;&gt;"",COUNTIFS(Accounts!$A$5:$A$50,E145,Accounts!$D$5:$D$50,"Asset")=1,COUNTIFS(Categories!$A$5:$A$100,F145,Categories!$C$5:$C$100,"Income")=1),AND(B145="Expense",D145&lt;&gt;"",E145="",F145&lt;&gt;"",COUNTIF(Accounts!$A$5:$A$50,D145)=1,COUNTIFS(Categories!$A$5:$A$100,F145,Categories!$C$5:$C$100,"Expense")=1),AND(B145="Refund",D145="",E145&lt;&gt;"",F145&lt;&gt;"",COUNTIF(Accounts!$A$5:$A$50,E145)=1,COUNTIFS(Categories!$A$5:$A$100,F145,Categories!$C$5:$C$100,"Expense")=1),AND(B145="Transfer",D145&lt;&gt;"",E145&lt;&gt;"",D145&lt;&gt;E145,F145="",COUNTIF(Accounts!$A$5:$A$50,D145)=1,COUNTIF(Accounts!$A$5:$A$50,E145)=1),AND(B145="Allocation",F145="Savings &amp; Investment",OR(AND(D145&lt;&gt;"",E145="",COUNTIFS(Accounts!$A$5:$A$50,D145,Accounts!$D$5:$D$50,"Asset")=1),AND(D145="",E145&lt;&gt;"",COUNTIFS(Accounts!$A$5:$A$50,E145,Accounts!$D$5:$D$50,"Asset")=1))),AND(B145="Adjustment",F145="",OR(AND(D145&lt;&gt;"",E145="",COUNTIF(Accounts!$A$5:$A$50,D145)=1),AND(D145="",E145&lt;&gt;"",COUNTIF(Accounts!$A$5:$A$50,E145)=1)))),"OK","CHECK: Type / account / category combination")))</f>
        <v/>
      </c>
    </row>
    <row r="146" spans="1:9">
      <c r="A146" s="56"/>
      <c r="C146" s="57"/>
      <c r="I146" s="13" t="str">
        <f>IF(COUNTA(A146:H146)=0,"",IF(OR(A146="",B146="",C146="",C146&lt;=0),"CHECK: Date, Type and positive Amount required",IF(OR(AND(B146="Income",D146="",E146&lt;&gt;"",F146&lt;&gt;"",COUNTIFS(Accounts!$A$5:$A$50,E146,Accounts!$D$5:$D$50,"Asset")=1,COUNTIFS(Categories!$A$5:$A$100,F146,Categories!$C$5:$C$100,"Income")=1),AND(B146="Expense",D146&lt;&gt;"",E146="",F146&lt;&gt;"",COUNTIF(Accounts!$A$5:$A$50,D146)=1,COUNTIFS(Categories!$A$5:$A$100,F146,Categories!$C$5:$C$100,"Expense")=1),AND(B146="Refund",D146="",E146&lt;&gt;"",F146&lt;&gt;"",COUNTIF(Accounts!$A$5:$A$50,E146)=1,COUNTIFS(Categories!$A$5:$A$100,F146,Categories!$C$5:$C$100,"Expense")=1),AND(B146="Transfer",D146&lt;&gt;"",E146&lt;&gt;"",D146&lt;&gt;E146,F146="",COUNTIF(Accounts!$A$5:$A$50,D146)=1,COUNTIF(Accounts!$A$5:$A$50,E146)=1),AND(B146="Allocation",F146="Savings &amp; Investment",OR(AND(D146&lt;&gt;"",E146="",COUNTIFS(Accounts!$A$5:$A$50,D146,Accounts!$D$5:$D$50,"Asset")=1),AND(D146="",E146&lt;&gt;"",COUNTIFS(Accounts!$A$5:$A$50,E146,Accounts!$D$5:$D$50,"Asset")=1))),AND(B146="Adjustment",F146="",OR(AND(D146&lt;&gt;"",E146="",COUNTIF(Accounts!$A$5:$A$50,D146)=1),AND(D146="",E146&lt;&gt;"",COUNTIF(Accounts!$A$5:$A$50,E146)=1)))),"OK","CHECK: Type / account / category combination")))</f>
        <v/>
      </c>
    </row>
    <row r="147" spans="1:9">
      <c r="A147" s="56"/>
      <c r="C147" s="57"/>
      <c r="I147" s="13" t="str">
        <f>IF(COUNTA(A147:H147)=0,"",IF(OR(A147="",B147="",C147="",C147&lt;=0),"CHECK: Date, Type and positive Amount required",IF(OR(AND(B147="Income",D147="",E147&lt;&gt;"",F147&lt;&gt;"",COUNTIFS(Accounts!$A$5:$A$50,E147,Accounts!$D$5:$D$50,"Asset")=1,COUNTIFS(Categories!$A$5:$A$100,F147,Categories!$C$5:$C$100,"Income")=1),AND(B147="Expense",D147&lt;&gt;"",E147="",F147&lt;&gt;"",COUNTIF(Accounts!$A$5:$A$50,D147)=1,COUNTIFS(Categories!$A$5:$A$100,F147,Categories!$C$5:$C$100,"Expense")=1),AND(B147="Refund",D147="",E147&lt;&gt;"",F147&lt;&gt;"",COUNTIF(Accounts!$A$5:$A$50,E147)=1,COUNTIFS(Categories!$A$5:$A$100,F147,Categories!$C$5:$C$100,"Expense")=1),AND(B147="Transfer",D147&lt;&gt;"",E147&lt;&gt;"",D147&lt;&gt;E147,F147="",COUNTIF(Accounts!$A$5:$A$50,D147)=1,COUNTIF(Accounts!$A$5:$A$50,E147)=1),AND(B147="Allocation",F147="Savings &amp; Investment",OR(AND(D147&lt;&gt;"",E147="",COUNTIFS(Accounts!$A$5:$A$50,D147,Accounts!$D$5:$D$50,"Asset")=1),AND(D147="",E147&lt;&gt;"",COUNTIFS(Accounts!$A$5:$A$50,E147,Accounts!$D$5:$D$50,"Asset")=1))),AND(B147="Adjustment",F147="",OR(AND(D147&lt;&gt;"",E147="",COUNTIF(Accounts!$A$5:$A$50,D147)=1),AND(D147="",E147&lt;&gt;"",COUNTIF(Accounts!$A$5:$A$50,E147)=1)))),"OK","CHECK: Type / account / category combination")))</f>
        <v/>
      </c>
    </row>
    <row r="148" spans="1:9">
      <c r="A148" s="56"/>
      <c r="C148" s="57"/>
      <c r="I148" s="13" t="str">
        <f>IF(COUNTA(A148:H148)=0,"",IF(OR(A148="",B148="",C148="",C148&lt;=0),"CHECK: Date, Type and positive Amount required",IF(OR(AND(B148="Income",D148="",E148&lt;&gt;"",F148&lt;&gt;"",COUNTIFS(Accounts!$A$5:$A$50,E148,Accounts!$D$5:$D$50,"Asset")=1,COUNTIFS(Categories!$A$5:$A$100,F148,Categories!$C$5:$C$100,"Income")=1),AND(B148="Expense",D148&lt;&gt;"",E148="",F148&lt;&gt;"",COUNTIF(Accounts!$A$5:$A$50,D148)=1,COUNTIFS(Categories!$A$5:$A$100,F148,Categories!$C$5:$C$100,"Expense")=1),AND(B148="Refund",D148="",E148&lt;&gt;"",F148&lt;&gt;"",COUNTIF(Accounts!$A$5:$A$50,E148)=1,COUNTIFS(Categories!$A$5:$A$100,F148,Categories!$C$5:$C$100,"Expense")=1),AND(B148="Transfer",D148&lt;&gt;"",E148&lt;&gt;"",D148&lt;&gt;E148,F148="",COUNTIF(Accounts!$A$5:$A$50,D148)=1,COUNTIF(Accounts!$A$5:$A$50,E148)=1),AND(B148="Allocation",F148="Savings &amp; Investment",OR(AND(D148&lt;&gt;"",E148="",COUNTIFS(Accounts!$A$5:$A$50,D148,Accounts!$D$5:$D$50,"Asset")=1),AND(D148="",E148&lt;&gt;"",COUNTIFS(Accounts!$A$5:$A$50,E148,Accounts!$D$5:$D$50,"Asset")=1))),AND(B148="Adjustment",F148="",OR(AND(D148&lt;&gt;"",E148="",COUNTIF(Accounts!$A$5:$A$50,D148)=1),AND(D148="",E148&lt;&gt;"",COUNTIF(Accounts!$A$5:$A$50,E148)=1)))),"OK","CHECK: Type / account / category combination")))</f>
        <v/>
      </c>
    </row>
    <row r="149" spans="1:9">
      <c r="A149" s="56"/>
      <c r="C149" s="57"/>
      <c r="I149" s="13" t="str">
        <f>IF(COUNTA(A149:H149)=0,"",IF(OR(A149="",B149="",C149="",C149&lt;=0),"CHECK: Date, Type and positive Amount required",IF(OR(AND(B149="Income",D149="",E149&lt;&gt;"",F149&lt;&gt;"",COUNTIFS(Accounts!$A$5:$A$50,E149,Accounts!$D$5:$D$50,"Asset")=1,COUNTIFS(Categories!$A$5:$A$100,F149,Categories!$C$5:$C$100,"Income")=1),AND(B149="Expense",D149&lt;&gt;"",E149="",F149&lt;&gt;"",COUNTIF(Accounts!$A$5:$A$50,D149)=1,COUNTIFS(Categories!$A$5:$A$100,F149,Categories!$C$5:$C$100,"Expense")=1),AND(B149="Refund",D149="",E149&lt;&gt;"",F149&lt;&gt;"",COUNTIF(Accounts!$A$5:$A$50,E149)=1,COUNTIFS(Categories!$A$5:$A$100,F149,Categories!$C$5:$C$100,"Expense")=1),AND(B149="Transfer",D149&lt;&gt;"",E149&lt;&gt;"",D149&lt;&gt;E149,F149="",COUNTIF(Accounts!$A$5:$A$50,D149)=1,COUNTIF(Accounts!$A$5:$A$50,E149)=1),AND(B149="Allocation",F149="Savings &amp; Investment",OR(AND(D149&lt;&gt;"",E149="",COUNTIFS(Accounts!$A$5:$A$50,D149,Accounts!$D$5:$D$50,"Asset")=1),AND(D149="",E149&lt;&gt;"",COUNTIFS(Accounts!$A$5:$A$50,E149,Accounts!$D$5:$D$50,"Asset")=1))),AND(B149="Adjustment",F149="",OR(AND(D149&lt;&gt;"",E149="",COUNTIF(Accounts!$A$5:$A$50,D149)=1),AND(D149="",E149&lt;&gt;"",COUNTIF(Accounts!$A$5:$A$50,E149)=1)))),"OK","CHECK: Type / account / category combination")))</f>
        <v/>
      </c>
    </row>
    <row r="150" spans="1:9">
      <c r="A150" s="56"/>
      <c r="C150" s="57"/>
      <c r="I150" s="13" t="str">
        <f>IF(COUNTA(A150:H150)=0,"",IF(OR(A150="",B150="",C150="",C150&lt;=0),"CHECK: Date, Type and positive Amount required",IF(OR(AND(B150="Income",D150="",E150&lt;&gt;"",F150&lt;&gt;"",COUNTIFS(Accounts!$A$5:$A$50,E150,Accounts!$D$5:$D$50,"Asset")=1,COUNTIFS(Categories!$A$5:$A$100,F150,Categories!$C$5:$C$100,"Income")=1),AND(B150="Expense",D150&lt;&gt;"",E150="",F150&lt;&gt;"",COUNTIF(Accounts!$A$5:$A$50,D150)=1,COUNTIFS(Categories!$A$5:$A$100,F150,Categories!$C$5:$C$100,"Expense")=1),AND(B150="Refund",D150="",E150&lt;&gt;"",F150&lt;&gt;"",COUNTIF(Accounts!$A$5:$A$50,E150)=1,COUNTIFS(Categories!$A$5:$A$100,F150,Categories!$C$5:$C$100,"Expense")=1),AND(B150="Transfer",D150&lt;&gt;"",E150&lt;&gt;"",D150&lt;&gt;E150,F150="",COUNTIF(Accounts!$A$5:$A$50,D150)=1,COUNTIF(Accounts!$A$5:$A$50,E150)=1),AND(B150="Allocation",F150="Savings &amp; Investment",OR(AND(D150&lt;&gt;"",E150="",COUNTIFS(Accounts!$A$5:$A$50,D150,Accounts!$D$5:$D$50,"Asset")=1),AND(D150="",E150&lt;&gt;"",COUNTIFS(Accounts!$A$5:$A$50,E150,Accounts!$D$5:$D$50,"Asset")=1))),AND(B150="Adjustment",F150="",OR(AND(D150&lt;&gt;"",E150="",COUNTIF(Accounts!$A$5:$A$50,D150)=1),AND(D150="",E150&lt;&gt;"",COUNTIF(Accounts!$A$5:$A$50,E150)=1)))),"OK","CHECK: Type / account / category combination")))</f>
        <v/>
      </c>
    </row>
    <row r="151" spans="1:9">
      <c r="A151" s="56"/>
      <c r="C151" s="57"/>
      <c r="I151" s="13" t="str">
        <f>IF(COUNTA(A151:H151)=0,"",IF(OR(A151="",B151="",C151="",C151&lt;=0),"CHECK: Date, Type and positive Amount required",IF(OR(AND(B151="Income",D151="",E151&lt;&gt;"",F151&lt;&gt;"",COUNTIFS(Accounts!$A$5:$A$50,E151,Accounts!$D$5:$D$50,"Asset")=1,COUNTIFS(Categories!$A$5:$A$100,F151,Categories!$C$5:$C$100,"Income")=1),AND(B151="Expense",D151&lt;&gt;"",E151="",F151&lt;&gt;"",COUNTIF(Accounts!$A$5:$A$50,D151)=1,COUNTIFS(Categories!$A$5:$A$100,F151,Categories!$C$5:$C$100,"Expense")=1),AND(B151="Refund",D151="",E151&lt;&gt;"",F151&lt;&gt;"",COUNTIF(Accounts!$A$5:$A$50,E151)=1,COUNTIFS(Categories!$A$5:$A$100,F151,Categories!$C$5:$C$100,"Expense")=1),AND(B151="Transfer",D151&lt;&gt;"",E151&lt;&gt;"",D151&lt;&gt;E151,F151="",COUNTIF(Accounts!$A$5:$A$50,D151)=1,COUNTIF(Accounts!$A$5:$A$50,E151)=1),AND(B151="Allocation",F151="Savings &amp; Investment",OR(AND(D151&lt;&gt;"",E151="",COUNTIFS(Accounts!$A$5:$A$50,D151,Accounts!$D$5:$D$50,"Asset")=1),AND(D151="",E151&lt;&gt;"",COUNTIFS(Accounts!$A$5:$A$50,E151,Accounts!$D$5:$D$50,"Asset")=1))),AND(B151="Adjustment",F151="",OR(AND(D151&lt;&gt;"",E151="",COUNTIF(Accounts!$A$5:$A$50,D151)=1),AND(D151="",E151&lt;&gt;"",COUNTIF(Accounts!$A$5:$A$50,E151)=1)))),"OK","CHECK: Type / account / category combination")))</f>
        <v/>
      </c>
    </row>
    <row r="152" spans="1:9">
      <c r="A152" s="56"/>
      <c r="C152" s="57"/>
      <c r="I152" s="13" t="str">
        <f>IF(COUNTA(A152:H152)=0,"",IF(OR(A152="",B152="",C152="",C152&lt;=0),"CHECK: Date, Type and positive Amount required",IF(OR(AND(B152="Income",D152="",E152&lt;&gt;"",F152&lt;&gt;"",COUNTIFS(Accounts!$A$5:$A$50,E152,Accounts!$D$5:$D$50,"Asset")=1,COUNTIFS(Categories!$A$5:$A$100,F152,Categories!$C$5:$C$100,"Income")=1),AND(B152="Expense",D152&lt;&gt;"",E152="",F152&lt;&gt;"",COUNTIF(Accounts!$A$5:$A$50,D152)=1,COUNTIFS(Categories!$A$5:$A$100,F152,Categories!$C$5:$C$100,"Expense")=1),AND(B152="Refund",D152="",E152&lt;&gt;"",F152&lt;&gt;"",COUNTIF(Accounts!$A$5:$A$50,E152)=1,COUNTIFS(Categories!$A$5:$A$100,F152,Categories!$C$5:$C$100,"Expense")=1),AND(B152="Transfer",D152&lt;&gt;"",E152&lt;&gt;"",D152&lt;&gt;E152,F152="",COUNTIF(Accounts!$A$5:$A$50,D152)=1,COUNTIF(Accounts!$A$5:$A$50,E152)=1),AND(B152="Allocation",F152="Savings &amp; Investment",OR(AND(D152&lt;&gt;"",E152="",COUNTIFS(Accounts!$A$5:$A$50,D152,Accounts!$D$5:$D$50,"Asset")=1),AND(D152="",E152&lt;&gt;"",COUNTIFS(Accounts!$A$5:$A$50,E152,Accounts!$D$5:$D$50,"Asset")=1))),AND(B152="Adjustment",F152="",OR(AND(D152&lt;&gt;"",E152="",COUNTIF(Accounts!$A$5:$A$50,D152)=1),AND(D152="",E152&lt;&gt;"",COUNTIF(Accounts!$A$5:$A$50,E152)=1)))),"OK","CHECK: Type / account / category combination")))</f>
        <v/>
      </c>
    </row>
    <row r="153" spans="1:9">
      <c r="A153" s="56"/>
      <c r="C153" s="57"/>
      <c r="I153" s="13" t="str">
        <f>IF(COUNTA(A153:H153)=0,"",IF(OR(A153="",B153="",C153="",C153&lt;=0),"CHECK: Date, Type and positive Amount required",IF(OR(AND(B153="Income",D153="",E153&lt;&gt;"",F153&lt;&gt;"",COUNTIFS(Accounts!$A$5:$A$50,E153,Accounts!$D$5:$D$50,"Asset")=1,COUNTIFS(Categories!$A$5:$A$100,F153,Categories!$C$5:$C$100,"Income")=1),AND(B153="Expense",D153&lt;&gt;"",E153="",F153&lt;&gt;"",COUNTIF(Accounts!$A$5:$A$50,D153)=1,COUNTIFS(Categories!$A$5:$A$100,F153,Categories!$C$5:$C$100,"Expense")=1),AND(B153="Refund",D153="",E153&lt;&gt;"",F153&lt;&gt;"",COUNTIF(Accounts!$A$5:$A$50,E153)=1,COUNTIFS(Categories!$A$5:$A$100,F153,Categories!$C$5:$C$100,"Expense")=1),AND(B153="Transfer",D153&lt;&gt;"",E153&lt;&gt;"",D153&lt;&gt;E153,F153="",COUNTIF(Accounts!$A$5:$A$50,D153)=1,COUNTIF(Accounts!$A$5:$A$50,E153)=1),AND(B153="Allocation",F153="Savings &amp; Investment",OR(AND(D153&lt;&gt;"",E153="",COUNTIFS(Accounts!$A$5:$A$50,D153,Accounts!$D$5:$D$50,"Asset")=1),AND(D153="",E153&lt;&gt;"",COUNTIFS(Accounts!$A$5:$A$50,E153,Accounts!$D$5:$D$50,"Asset")=1))),AND(B153="Adjustment",F153="",OR(AND(D153&lt;&gt;"",E153="",COUNTIF(Accounts!$A$5:$A$50,D153)=1),AND(D153="",E153&lt;&gt;"",COUNTIF(Accounts!$A$5:$A$50,E153)=1)))),"OK","CHECK: Type / account / category combination")))</f>
        <v/>
      </c>
    </row>
    <row r="154" spans="1:9">
      <c r="A154" s="56"/>
      <c r="C154" s="57"/>
      <c r="I154" s="13" t="str">
        <f>IF(COUNTA(A154:H154)=0,"",IF(OR(A154="",B154="",C154="",C154&lt;=0),"CHECK: Date, Type and positive Amount required",IF(OR(AND(B154="Income",D154="",E154&lt;&gt;"",F154&lt;&gt;"",COUNTIFS(Accounts!$A$5:$A$50,E154,Accounts!$D$5:$D$50,"Asset")=1,COUNTIFS(Categories!$A$5:$A$100,F154,Categories!$C$5:$C$100,"Income")=1),AND(B154="Expense",D154&lt;&gt;"",E154="",F154&lt;&gt;"",COUNTIF(Accounts!$A$5:$A$50,D154)=1,COUNTIFS(Categories!$A$5:$A$100,F154,Categories!$C$5:$C$100,"Expense")=1),AND(B154="Refund",D154="",E154&lt;&gt;"",F154&lt;&gt;"",COUNTIF(Accounts!$A$5:$A$50,E154)=1,COUNTIFS(Categories!$A$5:$A$100,F154,Categories!$C$5:$C$100,"Expense")=1),AND(B154="Transfer",D154&lt;&gt;"",E154&lt;&gt;"",D154&lt;&gt;E154,F154="",COUNTIF(Accounts!$A$5:$A$50,D154)=1,COUNTIF(Accounts!$A$5:$A$50,E154)=1),AND(B154="Allocation",F154="Savings &amp; Investment",OR(AND(D154&lt;&gt;"",E154="",COUNTIFS(Accounts!$A$5:$A$50,D154,Accounts!$D$5:$D$50,"Asset")=1),AND(D154="",E154&lt;&gt;"",COUNTIFS(Accounts!$A$5:$A$50,E154,Accounts!$D$5:$D$50,"Asset")=1))),AND(B154="Adjustment",F154="",OR(AND(D154&lt;&gt;"",E154="",COUNTIF(Accounts!$A$5:$A$50,D154)=1),AND(D154="",E154&lt;&gt;"",COUNTIF(Accounts!$A$5:$A$50,E154)=1)))),"OK","CHECK: Type / account / category combination")))</f>
        <v/>
      </c>
    </row>
    <row r="155" spans="1:9">
      <c r="A155" s="56"/>
      <c r="C155" s="57"/>
      <c r="I155" s="13" t="str">
        <f>IF(COUNTA(A155:H155)=0,"",IF(OR(A155="",B155="",C155="",C155&lt;=0),"CHECK: Date, Type and positive Amount required",IF(OR(AND(B155="Income",D155="",E155&lt;&gt;"",F155&lt;&gt;"",COUNTIFS(Accounts!$A$5:$A$50,E155,Accounts!$D$5:$D$50,"Asset")=1,COUNTIFS(Categories!$A$5:$A$100,F155,Categories!$C$5:$C$100,"Income")=1),AND(B155="Expense",D155&lt;&gt;"",E155="",F155&lt;&gt;"",COUNTIF(Accounts!$A$5:$A$50,D155)=1,COUNTIFS(Categories!$A$5:$A$100,F155,Categories!$C$5:$C$100,"Expense")=1),AND(B155="Refund",D155="",E155&lt;&gt;"",F155&lt;&gt;"",COUNTIF(Accounts!$A$5:$A$50,E155)=1,COUNTIFS(Categories!$A$5:$A$100,F155,Categories!$C$5:$C$100,"Expense")=1),AND(B155="Transfer",D155&lt;&gt;"",E155&lt;&gt;"",D155&lt;&gt;E155,F155="",COUNTIF(Accounts!$A$5:$A$50,D155)=1,COUNTIF(Accounts!$A$5:$A$50,E155)=1),AND(B155="Allocation",F155="Savings &amp; Investment",OR(AND(D155&lt;&gt;"",E155="",COUNTIFS(Accounts!$A$5:$A$50,D155,Accounts!$D$5:$D$50,"Asset")=1),AND(D155="",E155&lt;&gt;"",COUNTIFS(Accounts!$A$5:$A$50,E155,Accounts!$D$5:$D$50,"Asset")=1))),AND(B155="Adjustment",F155="",OR(AND(D155&lt;&gt;"",E155="",COUNTIF(Accounts!$A$5:$A$50,D155)=1),AND(D155="",E155&lt;&gt;"",COUNTIF(Accounts!$A$5:$A$50,E155)=1)))),"OK","CHECK: Type / account / category combination")))</f>
        <v/>
      </c>
    </row>
    <row r="156" spans="1:9">
      <c r="A156" s="56"/>
      <c r="C156" s="57"/>
      <c r="I156" s="13" t="str">
        <f>IF(COUNTA(A156:H156)=0,"",IF(OR(A156="",B156="",C156="",C156&lt;=0),"CHECK: Date, Type and positive Amount required",IF(OR(AND(B156="Income",D156="",E156&lt;&gt;"",F156&lt;&gt;"",COUNTIFS(Accounts!$A$5:$A$50,E156,Accounts!$D$5:$D$50,"Asset")=1,COUNTIFS(Categories!$A$5:$A$100,F156,Categories!$C$5:$C$100,"Income")=1),AND(B156="Expense",D156&lt;&gt;"",E156="",F156&lt;&gt;"",COUNTIF(Accounts!$A$5:$A$50,D156)=1,COUNTIFS(Categories!$A$5:$A$100,F156,Categories!$C$5:$C$100,"Expense")=1),AND(B156="Refund",D156="",E156&lt;&gt;"",F156&lt;&gt;"",COUNTIF(Accounts!$A$5:$A$50,E156)=1,COUNTIFS(Categories!$A$5:$A$100,F156,Categories!$C$5:$C$100,"Expense")=1),AND(B156="Transfer",D156&lt;&gt;"",E156&lt;&gt;"",D156&lt;&gt;E156,F156="",COUNTIF(Accounts!$A$5:$A$50,D156)=1,COUNTIF(Accounts!$A$5:$A$50,E156)=1),AND(B156="Allocation",F156="Savings &amp; Investment",OR(AND(D156&lt;&gt;"",E156="",COUNTIFS(Accounts!$A$5:$A$50,D156,Accounts!$D$5:$D$50,"Asset")=1),AND(D156="",E156&lt;&gt;"",COUNTIFS(Accounts!$A$5:$A$50,E156,Accounts!$D$5:$D$50,"Asset")=1))),AND(B156="Adjustment",F156="",OR(AND(D156&lt;&gt;"",E156="",COUNTIF(Accounts!$A$5:$A$50,D156)=1),AND(D156="",E156&lt;&gt;"",COUNTIF(Accounts!$A$5:$A$50,E156)=1)))),"OK","CHECK: Type / account / category combination")))</f>
        <v/>
      </c>
    </row>
    <row r="157" spans="1:9">
      <c r="A157" s="56"/>
      <c r="C157" s="57"/>
      <c r="I157" s="13" t="str">
        <f>IF(COUNTA(A157:H157)=0,"",IF(OR(A157="",B157="",C157="",C157&lt;=0),"CHECK: Date, Type and positive Amount required",IF(OR(AND(B157="Income",D157="",E157&lt;&gt;"",F157&lt;&gt;"",COUNTIFS(Accounts!$A$5:$A$50,E157,Accounts!$D$5:$D$50,"Asset")=1,COUNTIFS(Categories!$A$5:$A$100,F157,Categories!$C$5:$C$100,"Income")=1),AND(B157="Expense",D157&lt;&gt;"",E157="",F157&lt;&gt;"",COUNTIF(Accounts!$A$5:$A$50,D157)=1,COUNTIFS(Categories!$A$5:$A$100,F157,Categories!$C$5:$C$100,"Expense")=1),AND(B157="Refund",D157="",E157&lt;&gt;"",F157&lt;&gt;"",COUNTIF(Accounts!$A$5:$A$50,E157)=1,COUNTIFS(Categories!$A$5:$A$100,F157,Categories!$C$5:$C$100,"Expense")=1),AND(B157="Transfer",D157&lt;&gt;"",E157&lt;&gt;"",D157&lt;&gt;E157,F157="",COUNTIF(Accounts!$A$5:$A$50,D157)=1,COUNTIF(Accounts!$A$5:$A$50,E157)=1),AND(B157="Allocation",F157="Savings &amp; Investment",OR(AND(D157&lt;&gt;"",E157="",COUNTIFS(Accounts!$A$5:$A$50,D157,Accounts!$D$5:$D$50,"Asset")=1),AND(D157="",E157&lt;&gt;"",COUNTIFS(Accounts!$A$5:$A$50,E157,Accounts!$D$5:$D$50,"Asset")=1))),AND(B157="Adjustment",F157="",OR(AND(D157&lt;&gt;"",E157="",COUNTIF(Accounts!$A$5:$A$50,D157)=1),AND(D157="",E157&lt;&gt;"",COUNTIF(Accounts!$A$5:$A$50,E157)=1)))),"OK","CHECK: Type / account / category combination")))</f>
        <v/>
      </c>
    </row>
    <row r="158" spans="1:9">
      <c r="A158" s="56"/>
      <c r="C158" s="57"/>
      <c r="I158" s="13" t="str">
        <f>IF(COUNTA(A158:H158)=0,"",IF(OR(A158="",B158="",C158="",C158&lt;=0),"CHECK: Date, Type and positive Amount required",IF(OR(AND(B158="Income",D158="",E158&lt;&gt;"",F158&lt;&gt;"",COUNTIFS(Accounts!$A$5:$A$50,E158,Accounts!$D$5:$D$50,"Asset")=1,COUNTIFS(Categories!$A$5:$A$100,F158,Categories!$C$5:$C$100,"Income")=1),AND(B158="Expense",D158&lt;&gt;"",E158="",F158&lt;&gt;"",COUNTIF(Accounts!$A$5:$A$50,D158)=1,COUNTIFS(Categories!$A$5:$A$100,F158,Categories!$C$5:$C$100,"Expense")=1),AND(B158="Refund",D158="",E158&lt;&gt;"",F158&lt;&gt;"",COUNTIF(Accounts!$A$5:$A$50,E158)=1,COUNTIFS(Categories!$A$5:$A$100,F158,Categories!$C$5:$C$100,"Expense")=1),AND(B158="Transfer",D158&lt;&gt;"",E158&lt;&gt;"",D158&lt;&gt;E158,F158="",COUNTIF(Accounts!$A$5:$A$50,D158)=1,COUNTIF(Accounts!$A$5:$A$50,E158)=1),AND(B158="Allocation",F158="Savings &amp; Investment",OR(AND(D158&lt;&gt;"",E158="",COUNTIFS(Accounts!$A$5:$A$50,D158,Accounts!$D$5:$D$50,"Asset")=1),AND(D158="",E158&lt;&gt;"",COUNTIFS(Accounts!$A$5:$A$50,E158,Accounts!$D$5:$D$50,"Asset")=1))),AND(B158="Adjustment",F158="",OR(AND(D158&lt;&gt;"",E158="",COUNTIF(Accounts!$A$5:$A$50,D158)=1),AND(D158="",E158&lt;&gt;"",COUNTIF(Accounts!$A$5:$A$50,E158)=1)))),"OK","CHECK: Type / account / category combination")))</f>
        <v/>
      </c>
    </row>
    <row r="159" spans="1:9">
      <c r="A159" s="56"/>
      <c r="C159" s="57"/>
      <c r="I159" s="13" t="str">
        <f>IF(COUNTA(A159:H159)=0,"",IF(OR(A159="",B159="",C159="",C159&lt;=0),"CHECK: Date, Type and positive Amount required",IF(OR(AND(B159="Income",D159="",E159&lt;&gt;"",F159&lt;&gt;"",COUNTIFS(Accounts!$A$5:$A$50,E159,Accounts!$D$5:$D$50,"Asset")=1,COUNTIFS(Categories!$A$5:$A$100,F159,Categories!$C$5:$C$100,"Income")=1),AND(B159="Expense",D159&lt;&gt;"",E159="",F159&lt;&gt;"",COUNTIF(Accounts!$A$5:$A$50,D159)=1,COUNTIFS(Categories!$A$5:$A$100,F159,Categories!$C$5:$C$100,"Expense")=1),AND(B159="Refund",D159="",E159&lt;&gt;"",F159&lt;&gt;"",COUNTIF(Accounts!$A$5:$A$50,E159)=1,COUNTIFS(Categories!$A$5:$A$100,F159,Categories!$C$5:$C$100,"Expense")=1),AND(B159="Transfer",D159&lt;&gt;"",E159&lt;&gt;"",D159&lt;&gt;E159,F159="",COUNTIF(Accounts!$A$5:$A$50,D159)=1,COUNTIF(Accounts!$A$5:$A$50,E159)=1),AND(B159="Allocation",F159="Savings &amp; Investment",OR(AND(D159&lt;&gt;"",E159="",COUNTIFS(Accounts!$A$5:$A$50,D159,Accounts!$D$5:$D$50,"Asset")=1),AND(D159="",E159&lt;&gt;"",COUNTIFS(Accounts!$A$5:$A$50,E159,Accounts!$D$5:$D$50,"Asset")=1))),AND(B159="Adjustment",F159="",OR(AND(D159&lt;&gt;"",E159="",COUNTIF(Accounts!$A$5:$A$50,D159)=1),AND(D159="",E159&lt;&gt;"",COUNTIF(Accounts!$A$5:$A$50,E159)=1)))),"OK","CHECK: Type / account / category combination")))</f>
        <v/>
      </c>
    </row>
    <row r="160" spans="1:9">
      <c r="A160" s="56"/>
      <c r="C160" s="57"/>
      <c r="I160" s="13" t="str">
        <f>IF(COUNTA(A160:H160)=0,"",IF(OR(A160="",B160="",C160="",C160&lt;=0),"CHECK: Date, Type and positive Amount required",IF(OR(AND(B160="Income",D160="",E160&lt;&gt;"",F160&lt;&gt;"",COUNTIFS(Accounts!$A$5:$A$50,E160,Accounts!$D$5:$D$50,"Asset")=1,COUNTIFS(Categories!$A$5:$A$100,F160,Categories!$C$5:$C$100,"Income")=1),AND(B160="Expense",D160&lt;&gt;"",E160="",F160&lt;&gt;"",COUNTIF(Accounts!$A$5:$A$50,D160)=1,COUNTIFS(Categories!$A$5:$A$100,F160,Categories!$C$5:$C$100,"Expense")=1),AND(B160="Refund",D160="",E160&lt;&gt;"",F160&lt;&gt;"",COUNTIF(Accounts!$A$5:$A$50,E160)=1,COUNTIFS(Categories!$A$5:$A$100,F160,Categories!$C$5:$C$100,"Expense")=1),AND(B160="Transfer",D160&lt;&gt;"",E160&lt;&gt;"",D160&lt;&gt;E160,F160="",COUNTIF(Accounts!$A$5:$A$50,D160)=1,COUNTIF(Accounts!$A$5:$A$50,E160)=1),AND(B160="Allocation",F160="Savings &amp; Investment",OR(AND(D160&lt;&gt;"",E160="",COUNTIFS(Accounts!$A$5:$A$50,D160,Accounts!$D$5:$D$50,"Asset")=1),AND(D160="",E160&lt;&gt;"",COUNTIFS(Accounts!$A$5:$A$50,E160,Accounts!$D$5:$D$50,"Asset")=1))),AND(B160="Adjustment",F160="",OR(AND(D160&lt;&gt;"",E160="",COUNTIF(Accounts!$A$5:$A$50,D160)=1),AND(D160="",E160&lt;&gt;"",COUNTIF(Accounts!$A$5:$A$50,E160)=1)))),"OK","CHECK: Type / account / category combination")))</f>
        <v/>
      </c>
    </row>
    <row r="161" spans="1:9">
      <c r="A161" s="56"/>
      <c r="C161" s="57"/>
      <c r="I161" s="13" t="str">
        <f>IF(COUNTA(A161:H161)=0,"",IF(OR(A161="",B161="",C161="",C161&lt;=0),"CHECK: Date, Type and positive Amount required",IF(OR(AND(B161="Income",D161="",E161&lt;&gt;"",F161&lt;&gt;"",COUNTIFS(Accounts!$A$5:$A$50,E161,Accounts!$D$5:$D$50,"Asset")=1,COUNTIFS(Categories!$A$5:$A$100,F161,Categories!$C$5:$C$100,"Income")=1),AND(B161="Expense",D161&lt;&gt;"",E161="",F161&lt;&gt;"",COUNTIF(Accounts!$A$5:$A$50,D161)=1,COUNTIFS(Categories!$A$5:$A$100,F161,Categories!$C$5:$C$100,"Expense")=1),AND(B161="Refund",D161="",E161&lt;&gt;"",F161&lt;&gt;"",COUNTIF(Accounts!$A$5:$A$50,E161)=1,COUNTIFS(Categories!$A$5:$A$100,F161,Categories!$C$5:$C$100,"Expense")=1),AND(B161="Transfer",D161&lt;&gt;"",E161&lt;&gt;"",D161&lt;&gt;E161,F161="",COUNTIF(Accounts!$A$5:$A$50,D161)=1,COUNTIF(Accounts!$A$5:$A$50,E161)=1),AND(B161="Allocation",F161="Savings &amp; Investment",OR(AND(D161&lt;&gt;"",E161="",COUNTIFS(Accounts!$A$5:$A$50,D161,Accounts!$D$5:$D$50,"Asset")=1),AND(D161="",E161&lt;&gt;"",COUNTIFS(Accounts!$A$5:$A$50,E161,Accounts!$D$5:$D$50,"Asset")=1))),AND(B161="Adjustment",F161="",OR(AND(D161&lt;&gt;"",E161="",COUNTIF(Accounts!$A$5:$A$50,D161)=1),AND(D161="",E161&lt;&gt;"",COUNTIF(Accounts!$A$5:$A$50,E161)=1)))),"OK","CHECK: Type / account / category combination")))</f>
        <v/>
      </c>
    </row>
    <row r="162" spans="1:9">
      <c r="A162" s="56"/>
      <c r="C162" s="57"/>
      <c r="I162" s="13" t="str">
        <f>IF(COUNTA(A162:H162)=0,"",IF(OR(A162="",B162="",C162="",C162&lt;=0),"CHECK: Date, Type and positive Amount required",IF(OR(AND(B162="Income",D162="",E162&lt;&gt;"",F162&lt;&gt;"",COUNTIFS(Accounts!$A$5:$A$50,E162,Accounts!$D$5:$D$50,"Asset")=1,COUNTIFS(Categories!$A$5:$A$100,F162,Categories!$C$5:$C$100,"Income")=1),AND(B162="Expense",D162&lt;&gt;"",E162="",F162&lt;&gt;"",COUNTIF(Accounts!$A$5:$A$50,D162)=1,COUNTIFS(Categories!$A$5:$A$100,F162,Categories!$C$5:$C$100,"Expense")=1),AND(B162="Refund",D162="",E162&lt;&gt;"",F162&lt;&gt;"",COUNTIF(Accounts!$A$5:$A$50,E162)=1,COUNTIFS(Categories!$A$5:$A$100,F162,Categories!$C$5:$C$100,"Expense")=1),AND(B162="Transfer",D162&lt;&gt;"",E162&lt;&gt;"",D162&lt;&gt;E162,F162="",COUNTIF(Accounts!$A$5:$A$50,D162)=1,COUNTIF(Accounts!$A$5:$A$50,E162)=1),AND(B162="Allocation",F162="Savings &amp; Investment",OR(AND(D162&lt;&gt;"",E162="",COUNTIFS(Accounts!$A$5:$A$50,D162,Accounts!$D$5:$D$50,"Asset")=1),AND(D162="",E162&lt;&gt;"",COUNTIFS(Accounts!$A$5:$A$50,E162,Accounts!$D$5:$D$50,"Asset")=1))),AND(B162="Adjustment",F162="",OR(AND(D162&lt;&gt;"",E162="",COUNTIF(Accounts!$A$5:$A$50,D162)=1),AND(D162="",E162&lt;&gt;"",COUNTIF(Accounts!$A$5:$A$50,E162)=1)))),"OK","CHECK: Type / account / category combination")))</f>
        <v/>
      </c>
    </row>
    <row r="163" spans="1:9">
      <c r="A163" s="56"/>
      <c r="C163" s="57"/>
      <c r="I163" s="13" t="str">
        <f>IF(COUNTA(A163:H163)=0,"",IF(OR(A163="",B163="",C163="",C163&lt;=0),"CHECK: Date, Type and positive Amount required",IF(OR(AND(B163="Income",D163="",E163&lt;&gt;"",F163&lt;&gt;"",COUNTIFS(Accounts!$A$5:$A$50,E163,Accounts!$D$5:$D$50,"Asset")=1,COUNTIFS(Categories!$A$5:$A$100,F163,Categories!$C$5:$C$100,"Income")=1),AND(B163="Expense",D163&lt;&gt;"",E163="",F163&lt;&gt;"",COUNTIF(Accounts!$A$5:$A$50,D163)=1,COUNTIFS(Categories!$A$5:$A$100,F163,Categories!$C$5:$C$100,"Expense")=1),AND(B163="Refund",D163="",E163&lt;&gt;"",F163&lt;&gt;"",COUNTIF(Accounts!$A$5:$A$50,E163)=1,COUNTIFS(Categories!$A$5:$A$100,F163,Categories!$C$5:$C$100,"Expense")=1),AND(B163="Transfer",D163&lt;&gt;"",E163&lt;&gt;"",D163&lt;&gt;E163,F163="",COUNTIF(Accounts!$A$5:$A$50,D163)=1,COUNTIF(Accounts!$A$5:$A$50,E163)=1),AND(B163="Allocation",F163="Savings &amp; Investment",OR(AND(D163&lt;&gt;"",E163="",COUNTIFS(Accounts!$A$5:$A$50,D163,Accounts!$D$5:$D$50,"Asset")=1),AND(D163="",E163&lt;&gt;"",COUNTIFS(Accounts!$A$5:$A$50,E163,Accounts!$D$5:$D$50,"Asset")=1))),AND(B163="Adjustment",F163="",OR(AND(D163&lt;&gt;"",E163="",COUNTIF(Accounts!$A$5:$A$50,D163)=1),AND(D163="",E163&lt;&gt;"",COUNTIF(Accounts!$A$5:$A$50,E163)=1)))),"OK","CHECK: Type / account / category combination")))</f>
        <v/>
      </c>
    </row>
    <row r="164" spans="1:9">
      <c r="A164" s="56"/>
      <c r="C164" s="57"/>
      <c r="I164" s="13" t="str">
        <f>IF(COUNTA(A164:H164)=0,"",IF(OR(A164="",B164="",C164="",C164&lt;=0),"CHECK: Date, Type and positive Amount required",IF(OR(AND(B164="Income",D164="",E164&lt;&gt;"",F164&lt;&gt;"",COUNTIFS(Accounts!$A$5:$A$50,E164,Accounts!$D$5:$D$50,"Asset")=1,COUNTIFS(Categories!$A$5:$A$100,F164,Categories!$C$5:$C$100,"Income")=1),AND(B164="Expense",D164&lt;&gt;"",E164="",F164&lt;&gt;"",COUNTIF(Accounts!$A$5:$A$50,D164)=1,COUNTIFS(Categories!$A$5:$A$100,F164,Categories!$C$5:$C$100,"Expense")=1),AND(B164="Refund",D164="",E164&lt;&gt;"",F164&lt;&gt;"",COUNTIF(Accounts!$A$5:$A$50,E164)=1,COUNTIFS(Categories!$A$5:$A$100,F164,Categories!$C$5:$C$100,"Expense")=1),AND(B164="Transfer",D164&lt;&gt;"",E164&lt;&gt;"",D164&lt;&gt;E164,F164="",COUNTIF(Accounts!$A$5:$A$50,D164)=1,COUNTIF(Accounts!$A$5:$A$50,E164)=1),AND(B164="Allocation",F164="Savings &amp; Investment",OR(AND(D164&lt;&gt;"",E164="",COUNTIFS(Accounts!$A$5:$A$50,D164,Accounts!$D$5:$D$50,"Asset")=1),AND(D164="",E164&lt;&gt;"",COUNTIFS(Accounts!$A$5:$A$50,E164,Accounts!$D$5:$D$50,"Asset")=1))),AND(B164="Adjustment",F164="",OR(AND(D164&lt;&gt;"",E164="",COUNTIF(Accounts!$A$5:$A$50,D164)=1),AND(D164="",E164&lt;&gt;"",COUNTIF(Accounts!$A$5:$A$50,E164)=1)))),"OK","CHECK: Type / account / category combination")))</f>
        <v/>
      </c>
    </row>
    <row r="165" spans="1:9">
      <c r="A165" s="56"/>
      <c r="C165" s="57"/>
      <c r="I165" s="13" t="str">
        <f>IF(COUNTA(A165:H165)=0,"",IF(OR(A165="",B165="",C165="",C165&lt;=0),"CHECK: Date, Type and positive Amount required",IF(OR(AND(B165="Income",D165="",E165&lt;&gt;"",F165&lt;&gt;"",COUNTIFS(Accounts!$A$5:$A$50,E165,Accounts!$D$5:$D$50,"Asset")=1,COUNTIFS(Categories!$A$5:$A$100,F165,Categories!$C$5:$C$100,"Income")=1),AND(B165="Expense",D165&lt;&gt;"",E165="",F165&lt;&gt;"",COUNTIF(Accounts!$A$5:$A$50,D165)=1,COUNTIFS(Categories!$A$5:$A$100,F165,Categories!$C$5:$C$100,"Expense")=1),AND(B165="Refund",D165="",E165&lt;&gt;"",F165&lt;&gt;"",COUNTIF(Accounts!$A$5:$A$50,E165)=1,COUNTIFS(Categories!$A$5:$A$100,F165,Categories!$C$5:$C$100,"Expense")=1),AND(B165="Transfer",D165&lt;&gt;"",E165&lt;&gt;"",D165&lt;&gt;E165,F165="",COUNTIF(Accounts!$A$5:$A$50,D165)=1,COUNTIF(Accounts!$A$5:$A$50,E165)=1),AND(B165="Allocation",F165="Savings &amp; Investment",OR(AND(D165&lt;&gt;"",E165="",COUNTIFS(Accounts!$A$5:$A$50,D165,Accounts!$D$5:$D$50,"Asset")=1),AND(D165="",E165&lt;&gt;"",COUNTIFS(Accounts!$A$5:$A$50,E165,Accounts!$D$5:$D$50,"Asset")=1))),AND(B165="Adjustment",F165="",OR(AND(D165&lt;&gt;"",E165="",COUNTIF(Accounts!$A$5:$A$50,D165)=1),AND(D165="",E165&lt;&gt;"",COUNTIF(Accounts!$A$5:$A$50,E165)=1)))),"OK","CHECK: Type / account / category combination")))</f>
        <v/>
      </c>
    </row>
    <row r="166" spans="1:9">
      <c r="A166" s="56"/>
      <c r="C166" s="57"/>
      <c r="I166" s="13" t="str">
        <f>IF(COUNTA(A166:H166)=0,"",IF(OR(A166="",B166="",C166="",C166&lt;=0),"CHECK: Date, Type and positive Amount required",IF(OR(AND(B166="Income",D166="",E166&lt;&gt;"",F166&lt;&gt;"",COUNTIFS(Accounts!$A$5:$A$50,E166,Accounts!$D$5:$D$50,"Asset")=1,COUNTIFS(Categories!$A$5:$A$100,F166,Categories!$C$5:$C$100,"Income")=1),AND(B166="Expense",D166&lt;&gt;"",E166="",F166&lt;&gt;"",COUNTIF(Accounts!$A$5:$A$50,D166)=1,COUNTIFS(Categories!$A$5:$A$100,F166,Categories!$C$5:$C$100,"Expense")=1),AND(B166="Refund",D166="",E166&lt;&gt;"",F166&lt;&gt;"",COUNTIF(Accounts!$A$5:$A$50,E166)=1,COUNTIFS(Categories!$A$5:$A$100,F166,Categories!$C$5:$C$100,"Expense")=1),AND(B166="Transfer",D166&lt;&gt;"",E166&lt;&gt;"",D166&lt;&gt;E166,F166="",COUNTIF(Accounts!$A$5:$A$50,D166)=1,COUNTIF(Accounts!$A$5:$A$50,E166)=1),AND(B166="Allocation",F166="Savings &amp; Investment",OR(AND(D166&lt;&gt;"",E166="",COUNTIFS(Accounts!$A$5:$A$50,D166,Accounts!$D$5:$D$50,"Asset")=1),AND(D166="",E166&lt;&gt;"",COUNTIFS(Accounts!$A$5:$A$50,E166,Accounts!$D$5:$D$50,"Asset")=1))),AND(B166="Adjustment",F166="",OR(AND(D166&lt;&gt;"",E166="",COUNTIF(Accounts!$A$5:$A$50,D166)=1),AND(D166="",E166&lt;&gt;"",COUNTIF(Accounts!$A$5:$A$50,E166)=1)))),"OK","CHECK: Type / account / category combination")))</f>
        <v/>
      </c>
    </row>
    <row r="167" spans="1:9">
      <c r="A167" s="56"/>
      <c r="C167" s="57"/>
      <c r="I167" s="13" t="str">
        <f>IF(COUNTA(A167:H167)=0,"",IF(OR(A167="",B167="",C167="",C167&lt;=0),"CHECK: Date, Type and positive Amount required",IF(OR(AND(B167="Income",D167="",E167&lt;&gt;"",F167&lt;&gt;"",COUNTIFS(Accounts!$A$5:$A$50,E167,Accounts!$D$5:$D$50,"Asset")=1,COUNTIFS(Categories!$A$5:$A$100,F167,Categories!$C$5:$C$100,"Income")=1),AND(B167="Expense",D167&lt;&gt;"",E167="",F167&lt;&gt;"",COUNTIF(Accounts!$A$5:$A$50,D167)=1,COUNTIFS(Categories!$A$5:$A$100,F167,Categories!$C$5:$C$100,"Expense")=1),AND(B167="Refund",D167="",E167&lt;&gt;"",F167&lt;&gt;"",COUNTIF(Accounts!$A$5:$A$50,E167)=1,COUNTIFS(Categories!$A$5:$A$100,F167,Categories!$C$5:$C$100,"Expense")=1),AND(B167="Transfer",D167&lt;&gt;"",E167&lt;&gt;"",D167&lt;&gt;E167,F167="",COUNTIF(Accounts!$A$5:$A$50,D167)=1,COUNTIF(Accounts!$A$5:$A$50,E167)=1),AND(B167="Allocation",F167="Savings &amp; Investment",OR(AND(D167&lt;&gt;"",E167="",COUNTIFS(Accounts!$A$5:$A$50,D167,Accounts!$D$5:$D$50,"Asset")=1),AND(D167="",E167&lt;&gt;"",COUNTIFS(Accounts!$A$5:$A$50,E167,Accounts!$D$5:$D$50,"Asset")=1))),AND(B167="Adjustment",F167="",OR(AND(D167&lt;&gt;"",E167="",COUNTIF(Accounts!$A$5:$A$50,D167)=1),AND(D167="",E167&lt;&gt;"",COUNTIF(Accounts!$A$5:$A$50,E167)=1)))),"OK","CHECK: Type / account / category combination")))</f>
        <v/>
      </c>
    </row>
    <row r="168" spans="1:9">
      <c r="A168" s="56"/>
      <c r="C168" s="57"/>
      <c r="I168" s="13" t="str">
        <f>IF(COUNTA(A168:H168)=0,"",IF(OR(A168="",B168="",C168="",C168&lt;=0),"CHECK: Date, Type and positive Amount required",IF(OR(AND(B168="Income",D168="",E168&lt;&gt;"",F168&lt;&gt;"",COUNTIFS(Accounts!$A$5:$A$50,E168,Accounts!$D$5:$D$50,"Asset")=1,COUNTIFS(Categories!$A$5:$A$100,F168,Categories!$C$5:$C$100,"Income")=1),AND(B168="Expense",D168&lt;&gt;"",E168="",F168&lt;&gt;"",COUNTIF(Accounts!$A$5:$A$50,D168)=1,COUNTIFS(Categories!$A$5:$A$100,F168,Categories!$C$5:$C$100,"Expense")=1),AND(B168="Refund",D168="",E168&lt;&gt;"",F168&lt;&gt;"",COUNTIF(Accounts!$A$5:$A$50,E168)=1,COUNTIFS(Categories!$A$5:$A$100,F168,Categories!$C$5:$C$100,"Expense")=1),AND(B168="Transfer",D168&lt;&gt;"",E168&lt;&gt;"",D168&lt;&gt;E168,F168="",COUNTIF(Accounts!$A$5:$A$50,D168)=1,COUNTIF(Accounts!$A$5:$A$50,E168)=1),AND(B168="Allocation",F168="Savings &amp; Investment",OR(AND(D168&lt;&gt;"",E168="",COUNTIFS(Accounts!$A$5:$A$50,D168,Accounts!$D$5:$D$50,"Asset")=1),AND(D168="",E168&lt;&gt;"",COUNTIFS(Accounts!$A$5:$A$50,E168,Accounts!$D$5:$D$50,"Asset")=1))),AND(B168="Adjustment",F168="",OR(AND(D168&lt;&gt;"",E168="",COUNTIF(Accounts!$A$5:$A$50,D168)=1),AND(D168="",E168&lt;&gt;"",COUNTIF(Accounts!$A$5:$A$50,E168)=1)))),"OK","CHECK: Type / account / category combination")))</f>
        <v/>
      </c>
    </row>
    <row r="169" spans="1:9">
      <c r="A169" s="56"/>
      <c r="C169" s="57"/>
      <c r="I169" s="13" t="str">
        <f>IF(COUNTA(A169:H169)=0,"",IF(OR(A169="",B169="",C169="",C169&lt;=0),"CHECK: Date, Type and positive Amount required",IF(OR(AND(B169="Income",D169="",E169&lt;&gt;"",F169&lt;&gt;"",COUNTIFS(Accounts!$A$5:$A$50,E169,Accounts!$D$5:$D$50,"Asset")=1,COUNTIFS(Categories!$A$5:$A$100,F169,Categories!$C$5:$C$100,"Income")=1),AND(B169="Expense",D169&lt;&gt;"",E169="",F169&lt;&gt;"",COUNTIF(Accounts!$A$5:$A$50,D169)=1,COUNTIFS(Categories!$A$5:$A$100,F169,Categories!$C$5:$C$100,"Expense")=1),AND(B169="Refund",D169="",E169&lt;&gt;"",F169&lt;&gt;"",COUNTIF(Accounts!$A$5:$A$50,E169)=1,COUNTIFS(Categories!$A$5:$A$100,F169,Categories!$C$5:$C$100,"Expense")=1),AND(B169="Transfer",D169&lt;&gt;"",E169&lt;&gt;"",D169&lt;&gt;E169,F169="",COUNTIF(Accounts!$A$5:$A$50,D169)=1,COUNTIF(Accounts!$A$5:$A$50,E169)=1),AND(B169="Allocation",F169="Savings &amp; Investment",OR(AND(D169&lt;&gt;"",E169="",COUNTIFS(Accounts!$A$5:$A$50,D169,Accounts!$D$5:$D$50,"Asset")=1),AND(D169="",E169&lt;&gt;"",COUNTIFS(Accounts!$A$5:$A$50,E169,Accounts!$D$5:$D$50,"Asset")=1))),AND(B169="Adjustment",F169="",OR(AND(D169&lt;&gt;"",E169="",COUNTIF(Accounts!$A$5:$A$50,D169)=1),AND(D169="",E169&lt;&gt;"",COUNTIF(Accounts!$A$5:$A$50,E169)=1)))),"OK","CHECK: Type / account / category combination")))</f>
        <v/>
      </c>
    </row>
    <row r="170" spans="1:9">
      <c r="A170" s="56"/>
      <c r="C170" s="57"/>
      <c r="I170" s="13" t="str">
        <f>IF(COUNTA(A170:H170)=0,"",IF(OR(A170="",B170="",C170="",C170&lt;=0),"CHECK: Date, Type and positive Amount required",IF(OR(AND(B170="Income",D170="",E170&lt;&gt;"",F170&lt;&gt;"",COUNTIFS(Accounts!$A$5:$A$50,E170,Accounts!$D$5:$D$50,"Asset")=1,COUNTIFS(Categories!$A$5:$A$100,F170,Categories!$C$5:$C$100,"Income")=1),AND(B170="Expense",D170&lt;&gt;"",E170="",F170&lt;&gt;"",COUNTIF(Accounts!$A$5:$A$50,D170)=1,COUNTIFS(Categories!$A$5:$A$100,F170,Categories!$C$5:$C$100,"Expense")=1),AND(B170="Refund",D170="",E170&lt;&gt;"",F170&lt;&gt;"",COUNTIF(Accounts!$A$5:$A$50,E170)=1,COUNTIFS(Categories!$A$5:$A$100,F170,Categories!$C$5:$C$100,"Expense")=1),AND(B170="Transfer",D170&lt;&gt;"",E170&lt;&gt;"",D170&lt;&gt;E170,F170="",COUNTIF(Accounts!$A$5:$A$50,D170)=1,COUNTIF(Accounts!$A$5:$A$50,E170)=1),AND(B170="Allocation",F170="Savings &amp; Investment",OR(AND(D170&lt;&gt;"",E170="",COUNTIFS(Accounts!$A$5:$A$50,D170,Accounts!$D$5:$D$50,"Asset")=1),AND(D170="",E170&lt;&gt;"",COUNTIFS(Accounts!$A$5:$A$50,E170,Accounts!$D$5:$D$50,"Asset")=1))),AND(B170="Adjustment",F170="",OR(AND(D170&lt;&gt;"",E170="",COUNTIF(Accounts!$A$5:$A$50,D170)=1),AND(D170="",E170&lt;&gt;"",COUNTIF(Accounts!$A$5:$A$50,E170)=1)))),"OK","CHECK: Type / account / category combination")))</f>
        <v/>
      </c>
    </row>
    <row r="171" spans="1:9">
      <c r="A171" s="56"/>
      <c r="C171" s="57"/>
      <c r="I171" s="13" t="str">
        <f>IF(COUNTA(A171:H171)=0,"",IF(OR(A171="",B171="",C171="",C171&lt;=0),"CHECK: Date, Type and positive Amount required",IF(OR(AND(B171="Income",D171="",E171&lt;&gt;"",F171&lt;&gt;"",COUNTIFS(Accounts!$A$5:$A$50,E171,Accounts!$D$5:$D$50,"Asset")=1,COUNTIFS(Categories!$A$5:$A$100,F171,Categories!$C$5:$C$100,"Income")=1),AND(B171="Expense",D171&lt;&gt;"",E171="",F171&lt;&gt;"",COUNTIF(Accounts!$A$5:$A$50,D171)=1,COUNTIFS(Categories!$A$5:$A$100,F171,Categories!$C$5:$C$100,"Expense")=1),AND(B171="Refund",D171="",E171&lt;&gt;"",F171&lt;&gt;"",COUNTIF(Accounts!$A$5:$A$50,E171)=1,COUNTIFS(Categories!$A$5:$A$100,F171,Categories!$C$5:$C$100,"Expense")=1),AND(B171="Transfer",D171&lt;&gt;"",E171&lt;&gt;"",D171&lt;&gt;E171,F171="",COUNTIF(Accounts!$A$5:$A$50,D171)=1,COUNTIF(Accounts!$A$5:$A$50,E171)=1),AND(B171="Allocation",F171="Savings &amp; Investment",OR(AND(D171&lt;&gt;"",E171="",COUNTIFS(Accounts!$A$5:$A$50,D171,Accounts!$D$5:$D$50,"Asset")=1),AND(D171="",E171&lt;&gt;"",COUNTIFS(Accounts!$A$5:$A$50,E171,Accounts!$D$5:$D$50,"Asset")=1))),AND(B171="Adjustment",F171="",OR(AND(D171&lt;&gt;"",E171="",COUNTIF(Accounts!$A$5:$A$50,D171)=1),AND(D171="",E171&lt;&gt;"",COUNTIF(Accounts!$A$5:$A$50,E171)=1)))),"OK","CHECK: Type / account / category combination")))</f>
        <v/>
      </c>
    </row>
    <row r="172" spans="1:9">
      <c r="A172" s="56"/>
      <c r="C172" s="57"/>
      <c r="I172" s="13" t="str">
        <f>IF(COUNTA(A172:H172)=0,"",IF(OR(A172="",B172="",C172="",C172&lt;=0),"CHECK: Date, Type and positive Amount required",IF(OR(AND(B172="Income",D172="",E172&lt;&gt;"",F172&lt;&gt;"",COUNTIFS(Accounts!$A$5:$A$50,E172,Accounts!$D$5:$D$50,"Asset")=1,COUNTIFS(Categories!$A$5:$A$100,F172,Categories!$C$5:$C$100,"Income")=1),AND(B172="Expense",D172&lt;&gt;"",E172="",F172&lt;&gt;"",COUNTIF(Accounts!$A$5:$A$50,D172)=1,COUNTIFS(Categories!$A$5:$A$100,F172,Categories!$C$5:$C$100,"Expense")=1),AND(B172="Refund",D172="",E172&lt;&gt;"",F172&lt;&gt;"",COUNTIF(Accounts!$A$5:$A$50,E172)=1,COUNTIFS(Categories!$A$5:$A$100,F172,Categories!$C$5:$C$100,"Expense")=1),AND(B172="Transfer",D172&lt;&gt;"",E172&lt;&gt;"",D172&lt;&gt;E172,F172="",COUNTIF(Accounts!$A$5:$A$50,D172)=1,COUNTIF(Accounts!$A$5:$A$50,E172)=1),AND(B172="Allocation",F172="Savings &amp; Investment",OR(AND(D172&lt;&gt;"",E172="",COUNTIFS(Accounts!$A$5:$A$50,D172,Accounts!$D$5:$D$50,"Asset")=1),AND(D172="",E172&lt;&gt;"",COUNTIFS(Accounts!$A$5:$A$50,E172,Accounts!$D$5:$D$50,"Asset")=1))),AND(B172="Adjustment",F172="",OR(AND(D172&lt;&gt;"",E172="",COUNTIF(Accounts!$A$5:$A$50,D172)=1),AND(D172="",E172&lt;&gt;"",COUNTIF(Accounts!$A$5:$A$50,E172)=1)))),"OK","CHECK: Type / account / category combination")))</f>
        <v/>
      </c>
    </row>
    <row r="173" spans="1:9">
      <c r="A173" s="56"/>
      <c r="C173" s="57"/>
      <c r="I173" s="13" t="str">
        <f>IF(COUNTA(A173:H173)=0,"",IF(OR(A173="",B173="",C173="",C173&lt;=0),"CHECK: Date, Type and positive Amount required",IF(OR(AND(B173="Income",D173="",E173&lt;&gt;"",F173&lt;&gt;"",COUNTIFS(Accounts!$A$5:$A$50,E173,Accounts!$D$5:$D$50,"Asset")=1,COUNTIFS(Categories!$A$5:$A$100,F173,Categories!$C$5:$C$100,"Income")=1),AND(B173="Expense",D173&lt;&gt;"",E173="",F173&lt;&gt;"",COUNTIF(Accounts!$A$5:$A$50,D173)=1,COUNTIFS(Categories!$A$5:$A$100,F173,Categories!$C$5:$C$100,"Expense")=1),AND(B173="Refund",D173="",E173&lt;&gt;"",F173&lt;&gt;"",COUNTIF(Accounts!$A$5:$A$50,E173)=1,COUNTIFS(Categories!$A$5:$A$100,F173,Categories!$C$5:$C$100,"Expense")=1),AND(B173="Transfer",D173&lt;&gt;"",E173&lt;&gt;"",D173&lt;&gt;E173,F173="",COUNTIF(Accounts!$A$5:$A$50,D173)=1,COUNTIF(Accounts!$A$5:$A$50,E173)=1),AND(B173="Allocation",F173="Savings &amp; Investment",OR(AND(D173&lt;&gt;"",E173="",COUNTIFS(Accounts!$A$5:$A$50,D173,Accounts!$D$5:$D$50,"Asset")=1),AND(D173="",E173&lt;&gt;"",COUNTIFS(Accounts!$A$5:$A$50,E173,Accounts!$D$5:$D$50,"Asset")=1))),AND(B173="Adjustment",F173="",OR(AND(D173&lt;&gt;"",E173="",COUNTIF(Accounts!$A$5:$A$50,D173)=1),AND(D173="",E173&lt;&gt;"",COUNTIF(Accounts!$A$5:$A$50,E173)=1)))),"OK","CHECK: Type / account / category combination")))</f>
        <v/>
      </c>
    </row>
    <row r="174" spans="1:9">
      <c r="A174" s="56"/>
      <c r="C174" s="57"/>
      <c r="I174" s="13" t="str">
        <f>IF(COUNTA(A174:H174)=0,"",IF(OR(A174="",B174="",C174="",C174&lt;=0),"CHECK: Date, Type and positive Amount required",IF(OR(AND(B174="Income",D174="",E174&lt;&gt;"",F174&lt;&gt;"",COUNTIFS(Accounts!$A$5:$A$50,E174,Accounts!$D$5:$D$50,"Asset")=1,COUNTIFS(Categories!$A$5:$A$100,F174,Categories!$C$5:$C$100,"Income")=1),AND(B174="Expense",D174&lt;&gt;"",E174="",F174&lt;&gt;"",COUNTIF(Accounts!$A$5:$A$50,D174)=1,COUNTIFS(Categories!$A$5:$A$100,F174,Categories!$C$5:$C$100,"Expense")=1),AND(B174="Refund",D174="",E174&lt;&gt;"",F174&lt;&gt;"",COUNTIF(Accounts!$A$5:$A$50,E174)=1,COUNTIFS(Categories!$A$5:$A$100,F174,Categories!$C$5:$C$100,"Expense")=1),AND(B174="Transfer",D174&lt;&gt;"",E174&lt;&gt;"",D174&lt;&gt;E174,F174="",COUNTIF(Accounts!$A$5:$A$50,D174)=1,COUNTIF(Accounts!$A$5:$A$50,E174)=1),AND(B174="Allocation",F174="Savings &amp; Investment",OR(AND(D174&lt;&gt;"",E174="",COUNTIFS(Accounts!$A$5:$A$50,D174,Accounts!$D$5:$D$50,"Asset")=1),AND(D174="",E174&lt;&gt;"",COUNTIFS(Accounts!$A$5:$A$50,E174,Accounts!$D$5:$D$50,"Asset")=1))),AND(B174="Adjustment",F174="",OR(AND(D174&lt;&gt;"",E174="",COUNTIF(Accounts!$A$5:$A$50,D174)=1),AND(D174="",E174&lt;&gt;"",COUNTIF(Accounts!$A$5:$A$50,E174)=1)))),"OK","CHECK: Type / account / category combination")))</f>
        <v/>
      </c>
    </row>
    <row r="175" spans="1:9">
      <c r="A175" s="56"/>
      <c r="C175" s="57"/>
      <c r="I175" s="13" t="str">
        <f>IF(COUNTA(A175:H175)=0,"",IF(OR(A175="",B175="",C175="",C175&lt;=0),"CHECK: Date, Type and positive Amount required",IF(OR(AND(B175="Income",D175="",E175&lt;&gt;"",F175&lt;&gt;"",COUNTIFS(Accounts!$A$5:$A$50,E175,Accounts!$D$5:$D$50,"Asset")=1,COUNTIFS(Categories!$A$5:$A$100,F175,Categories!$C$5:$C$100,"Income")=1),AND(B175="Expense",D175&lt;&gt;"",E175="",F175&lt;&gt;"",COUNTIF(Accounts!$A$5:$A$50,D175)=1,COUNTIFS(Categories!$A$5:$A$100,F175,Categories!$C$5:$C$100,"Expense")=1),AND(B175="Refund",D175="",E175&lt;&gt;"",F175&lt;&gt;"",COUNTIF(Accounts!$A$5:$A$50,E175)=1,COUNTIFS(Categories!$A$5:$A$100,F175,Categories!$C$5:$C$100,"Expense")=1),AND(B175="Transfer",D175&lt;&gt;"",E175&lt;&gt;"",D175&lt;&gt;E175,F175="",COUNTIF(Accounts!$A$5:$A$50,D175)=1,COUNTIF(Accounts!$A$5:$A$50,E175)=1),AND(B175="Allocation",F175="Savings &amp; Investment",OR(AND(D175&lt;&gt;"",E175="",COUNTIFS(Accounts!$A$5:$A$50,D175,Accounts!$D$5:$D$50,"Asset")=1),AND(D175="",E175&lt;&gt;"",COUNTIFS(Accounts!$A$5:$A$50,E175,Accounts!$D$5:$D$50,"Asset")=1))),AND(B175="Adjustment",F175="",OR(AND(D175&lt;&gt;"",E175="",COUNTIF(Accounts!$A$5:$A$50,D175)=1),AND(D175="",E175&lt;&gt;"",COUNTIF(Accounts!$A$5:$A$50,E175)=1)))),"OK","CHECK: Type / account / category combination")))</f>
        <v/>
      </c>
    </row>
    <row r="176" spans="1:9">
      <c r="A176" s="56"/>
      <c r="C176" s="57"/>
      <c r="I176" s="13" t="str">
        <f>IF(COUNTA(A176:H176)=0,"",IF(OR(A176="",B176="",C176="",C176&lt;=0),"CHECK: Date, Type and positive Amount required",IF(OR(AND(B176="Income",D176="",E176&lt;&gt;"",F176&lt;&gt;"",COUNTIFS(Accounts!$A$5:$A$50,E176,Accounts!$D$5:$D$50,"Asset")=1,COUNTIFS(Categories!$A$5:$A$100,F176,Categories!$C$5:$C$100,"Income")=1),AND(B176="Expense",D176&lt;&gt;"",E176="",F176&lt;&gt;"",COUNTIF(Accounts!$A$5:$A$50,D176)=1,COUNTIFS(Categories!$A$5:$A$100,F176,Categories!$C$5:$C$100,"Expense")=1),AND(B176="Refund",D176="",E176&lt;&gt;"",F176&lt;&gt;"",COUNTIF(Accounts!$A$5:$A$50,E176)=1,COUNTIFS(Categories!$A$5:$A$100,F176,Categories!$C$5:$C$100,"Expense")=1),AND(B176="Transfer",D176&lt;&gt;"",E176&lt;&gt;"",D176&lt;&gt;E176,F176="",COUNTIF(Accounts!$A$5:$A$50,D176)=1,COUNTIF(Accounts!$A$5:$A$50,E176)=1),AND(B176="Allocation",F176="Savings &amp; Investment",OR(AND(D176&lt;&gt;"",E176="",COUNTIFS(Accounts!$A$5:$A$50,D176,Accounts!$D$5:$D$50,"Asset")=1),AND(D176="",E176&lt;&gt;"",COUNTIFS(Accounts!$A$5:$A$50,E176,Accounts!$D$5:$D$50,"Asset")=1))),AND(B176="Adjustment",F176="",OR(AND(D176&lt;&gt;"",E176="",COUNTIF(Accounts!$A$5:$A$50,D176)=1),AND(D176="",E176&lt;&gt;"",COUNTIF(Accounts!$A$5:$A$50,E176)=1)))),"OK","CHECK: Type / account / category combination")))</f>
        <v/>
      </c>
    </row>
    <row r="177" spans="1:9">
      <c r="A177" s="56"/>
      <c r="C177" s="57"/>
      <c r="I177" s="13" t="str">
        <f>IF(COUNTA(A177:H177)=0,"",IF(OR(A177="",B177="",C177="",C177&lt;=0),"CHECK: Date, Type and positive Amount required",IF(OR(AND(B177="Income",D177="",E177&lt;&gt;"",F177&lt;&gt;"",COUNTIFS(Accounts!$A$5:$A$50,E177,Accounts!$D$5:$D$50,"Asset")=1,COUNTIFS(Categories!$A$5:$A$100,F177,Categories!$C$5:$C$100,"Income")=1),AND(B177="Expense",D177&lt;&gt;"",E177="",F177&lt;&gt;"",COUNTIF(Accounts!$A$5:$A$50,D177)=1,COUNTIFS(Categories!$A$5:$A$100,F177,Categories!$C$5:$C$100,"Expense")=1),AND(B177="Refund",D177="",E177&lt;&gt;"",F177&lt;&gt;"",COUNTIF(Accounts!$A$5:$A$50,E177)=1,COUNTIFS(Categories!$A$5:$A$100,F177,Categories!$C$5:$C$100,"Expense")=1),AND(B177="Transfer",D177&lt;&gt;"",E177&lt;&gt;"",D177&lt;&gt;E177,F177="",COUNTIF(Accounts!$A$5:$A$50,D177)=1,COUNTIF(Accounts!$A$5:$A$50,E177)=1),AND(B177="Allocation",F177="Savings &amp; Investment",OR(AND(D177&lt;&gt;"",E177="",COUNTIFS(Accounts!$A$5:$A$50,D177,Accounts!$D$5:$D$50,"Asset")=1),AND(D177="",E177&lt;&gt;"",COUNTIFS(Accounts!$A$5:$A$50,E177,Accounts!$D$5:$D$50,"Asset")=1))),AND(B177="Adjustment",F177="",OR(AND(D177&lt;&gt;"",E177="",COUNTIF(Accounts!$A$5:$A$50,D177)=1),AND(D177="",E177&lt;&gt;"",COUNTIF(Accounts!$A$5:$A$50,E177)=1)))),"OK","CHECK: Type / account / category combination")))</f>
        <v/>
      </c>
    </row>
    <row r="178" spans="1:9">
      <c r="A178" s="56"/>
      <c r="C178" s="57"/>
      <c r="I178" s="13" t="str">
        <f>IF(COUNTA(A178:H178)=0,"",IF(OR(A178="",B178="",C178="",C178&lt;=0),"CHECK: Date, Type and positive Amount required",IF(OR(AND(B178="Income",D178="",E178&lt;&gt;"",F178&lt;&gt;"",COUNTIFS(Accounts!$A$5:$A$50,E178,Accounts!$D$5:$D$50,"Asset")=1,COUNTIFS(Categories!$A$5:$A$100,F178,Categories!$C$5:$C$100,"Income")=1),AND(B178="Expense",D178&lt;&gt;"",E178="",F178&lt;&gt;"",COUNTIF(Accounts!$A$5:$A$50,D178)=1,COUNTIFS(Categories!$A$5:$A$100,F178,Categories!$C$5:$C$100,"Expense")=1),AND(B178="Refund",D178="",E178&lt;&gt;"",F178&lt;&gt;"",COUNTIF(Accounts!$A$5:$A$50,E178)=1,COUNTIFS(Categories!$A$5:$A$100,F178,Categories!$C$5:$C$100,"Expense")=1),AND(B178="Transfer",D178&lt;&gt;"",E178&lt;&gt;"",D178&lt;&gt;E178,F178="",COUNTIF(Accounts!$A$5:$A$50,D178)=1,COUNTIF(Accounts!$A$5:$A$50,E178)=1),AND(B178="Allocation",F178="Savings &amp; Investment",OR(AND(D178&lt;&gt;"",E178="",COUNTIFS(Accounts!$A$5:$A$50,D178,Accounts!$D$5:$D$50,"Asset")=1),AND(D178="",E178&lt;&gt;"",COUNTIFS(Accounts!$A$5:$A$50,E178,Accounts!$D$5:$D$50,"Asset")=1))),AND(B178="Adjustment",F178="",OR(AND(D178&lt;&gt;"",E178="",COUNTIF(Accounts!$A$5:$A$50,D178)=1),AND(D178="",E178&lt;&gt;"",COUNTIF(Accounts!$A$5:$A$50,E178)=1)))),"OK","CHECK: Type / account / category combination")))</f>
        <v/>
      </c>
    </row>
    <row r="179" spans="1:9">
      <c r="A179" s="56"/>
      <c r="C179" s="57"/>
      <c r="I179" s="13" t="str">
        <f>IF(COUNTA(A179:H179)=0,"",IF(OR(A179="",B179="",C179="",C179&lt;=0),"CHECK: Date, Type and positive Amount required",IF(OR(AND(B179="Income",D179="",E179&lt;&gt;"",F179&lt;&gt;"",COUNTIFS(Accounts!$A$5:$A$50,E179,Accounts!$D$5:$D$50,"Asset")=1,COUNTIFS(Categories!$A$5:$A$100,F179,Categories!$C$5:$C$100,"Income")=1),AND(B179="Expense",D179&lt;&gt;"",E179="",F179&lt;&gt;"",COUNTIF(Accounts!$A$5:$A$50,D179)=1,COUNTIFS(Categories!$A$5:$A$100,F179,Categories!$C$5:$C$100,"Expense")=1),AND(B179="Refund",D179="",E179&lt;&gt;"",F179&lt;&gt;"",COUNTIF(Accounts!$A$5:$A$50,E179)=1,COUNTIFS(Categories!$A$5:$A$100,F179,Categories!$C$5:$C$100,"Expense")=1),AND(B179="Transfer",D179&lt;&gt;"",E179&lt;&gt;"",D179&lt;&gt;E179,F179="",COUNTIF(Accounts!$A$5:$A$50,D179)=1,COUNTIF(Accounts!$A$5:$A$50,E179)=1),AND(B179="Allocation",F179="Savings &amp; Investment",OR(AND(D179&lt;&gt;"",E179="",COUNTIFS(Accounts!$A$5:$A$50,D179,Accounts!$D$5:$D$50,"Asset")=1),AND(D179="",E179&lt;&gt;"",COUNTIFS(Accounts!$A$5:$A$50,E179,Accounts!$D$5:$D$50,"Asset")=1))),AND(B179="Adjustment",F179="",OR(AND(D179&lt;&gt;"",E179="",COUNTIF(Accounts!$A$5:$A$50,D179)=1),AND(D179="",E179&lt;&gt;"",COUNTIF(Accounts!$A$5:$A$50,E179)=1)))),"OK","CHECK: Type / account / category combination")))</f>
        <v/>
      </c>
    </row>
    <row r="180" spans="1:9">
      <c r="A180" s="56"/>
      <c r="C180" s="57"/>
      <c r="I180" s="13" t="str">
        <f>IF(COUNTA(A180:H180)=0,"",IF(OR(A180="",B180="",C180="",C180&lt;=0),"CHECK: Date, Type and positive Amount required",IF(OR(AND(B180="Income",D180="",E180&lt;&gt;"",F180&lt;&gt;"",COUNTIFS(Accounts!$A$5:$A$50,E180,Accounts!$D$5:$D$50,"Asset")=1,COUNTIFS(Categories!$A$5:$A$100,F180,Categories!$C$5:$C$100,"Income")=1),AND(B180="Expense",D180&lt;&gt;"",E180="",F180&lt;&gt;"",COUNTIF(Accounts!$A$5:$A$50,D180)=1,COUNTIFS(Categories!$A$5:$A$100,F180,Categories!$C$5:$C$100,"Expense")=1),AND(B180="Refund",D180="",E180&lt;&gt;"",F180&lt;&gt;"",COUNTIF(Accounts!$A$5:$A$50,E180)=1,COUNTIFS(Categories!$A$5:$A$100,F180,Categories!$C$5:$C$100,"Expense")=1),AND(B180="Transfer",D180&lt;&gt;"",E180&lt;&gt;"",D180&lt;&gt;E180,F180="",COUNTIF(Accounts!$A$5:$A$50,D180)=1,COUNTIF(Accounts!$A$5:$A$50,E180)=1),AND(B180="Allocation",F180="Savings &amp; Investment",OR(AND(D180&lt;&gt;"",E180="",COUNTIFS(Accounts!$A$5:$A$50,D180,Accounts!$D$5:$D$50,"Asset")=1),AND(D180="",E180&lt;&gt;"",COUNTIFS(Accounts!$A$5:$A$50,E180,Accounts!$D$5:$D$50,"Asset")=1))),AND(B180="Adjustment",F180="",OR(AND(D180&lt;&gt;"",E180="",COUNTIF(Accounts!$A$5:$A$50,D180)=1),AND(D180="",E180&lt;&gt;"",COUNTIF(Accounts!$A$5:$A$50,E180)=1)))),"OK","CHECK: Type / account / category combination")))</f>
        <v/>
      </c>
    </row>
    <row r="181" spans="1:9">
      <c r="A181" s="56"/>
      <c r="C181" s="57"/>
      <c r="I181" s="13" t="str">
        <f>IF(COUNTA(A181:H181)=0,"",IF(OR(A181="",B181="",C181="",C181&lt;=0),"CHECK: Date, Type and positive Amount required",IF(OR(AND(B181="Income",D181="",E181&lt;&gt;"",F181&lt;&gt;"",COUNTIFS(Accounts!$A$5:$A$50,E181,Accounts!$D$5:$D$50,"Asset")=1,COUNTIFS(Categories!$A$5:$A$100,F181,Categories!$C$5:$C$100,"Income")=1),AND(B181="Expense",D181&lt;&gt;"",E181="",F181&lt;&gt;"",COUNTIF(Accounts!$A$5:$A$50,D181)=1,COUNTIFS(Categories!$A$5:$A$100,F181,Categories!$C$5:$C$100,"Expense")=1),AND(B181="Refund",D181="",E181&lt;&gt;"",F181&lt;&gt;"",COUNTIF(Accounts!$A$5:$A$50,E181)=1,COUNTIFS(Categories!$A$5:$A$100,F181,Categories!$C$5:$C$100,"Expense")=1),AND(B181="Transfer",D181&lt;&gt;"",E181&lt;&gt;"",D181&lt;&gt;E181,F181="",COUNTIF(Accounts!$A$5:$A$50,D181)=1,COUNTIF(Accounts!$A$5:$A$50,E181)=1),AND(B181="Allocation",F181="Savings &amp; Investment",OR(AND(D181&lt;&gt;"",E181="",COUNTIFS(Accounts!$A$5:$A$50,D181,Accounts!$D$5:$D$50,"Asset")=1),AND(D181="",E181&lt;&gt;"",COUNTIFS(Accounts!$A$5:$A$50,E181,Accounts!$D$5:$D$50,"Asset")=1))),AND(B181="Adjustment",F181="",OR(AND(D181&lt;&gt;"",E181="",COUNTIF(Accounts!$A$5:$A$50,D181)=1),AND(D181="",E181&lt;&gt;"",COUNTIF(Accounts!$A$5:$A$50,E181)=1)))),"OK","CHECK: Type / account / category combination")))</f>
        <v/>
      </c>
    </row>
    <row r="182" spans="1:9">
      <c r="A182" s="56"/>
      <c r="C182" s="57"/>
      <c r="I182" s="13" t="str">
        <f>IF(COUNTA(A182:H182)=0,"",IF(OR(A182="",B182="",C182="",C182&lt;=0),"CHECK: Date, Type and positive Amount required",IF(OR(AND(B182="Income",D182="",E182&lt;&gt;"",F182&lt;&gt;"",COUNTIFS(Accounts!$A$5:$A$50,E182,Accounts!$D$5:$D$50,"Asset")=1,COUNTIFS(Categories!$A$5:$A$100,F182,Categories!$C$5:$C$100,"Income")=1),AND(B182="Expense",D182&lt;&gt;"",E182="",F182&lt;&gt;"",COUNTIF(Accounts!$A$5:$A$50,D182)=1,COUNTIFS(Categories!$A$5:$A$100,F182,Categories!$C$5:$C$100,"Expense")=1),AND(B182="Refund",D182="",E182&lt;&gt;"",F182&lt;&gt;"",COUNTIF(Accounts!$A$5:$A$50,E182)=1,COUNTIFS(Categories!$A$5:$A$100,F182,Categories!$C$5:$C$100,"Expense")=1),AND(B182="Transfer",D182&lt;&gt;"",E182&lt;&gt;"",D182&lt;&gt;E182,F182="",COUNTIF(Accounts!$A$5:$A$50,D182)=1,COUNTIF(Accounts!$A$5:$A$50,E182)=1),AND(B182="Allocation",F182="Savings &amp; Investment",OR(AND(D182&lt;&gt;"",E182="",COUNTIFS(Accounts!$A$5:$A$50,D182,Accounts!$D$5:$D$50,"Asset")=1),AND(D182="",E182&lt;&gt;"",COUNTIFS(Accounts!$A$5:$A$50,E182,Accounts!$D$5:$D$50,"Asset")=1))),AND(B182="Adjustment",F182="",OR(AND(D182&lt;&gt;"",E182="",COUNTIF(Accounts!$A$5:$A$50,D182)=1),AND(D182="",E182&lt;&gt;"",COUNTIF(Accounts!$A$5:$A$50,E182)=1)))),"OK","CHECK: Type / account / category combination")))</f>
        <v/>
      </c>
    </row>
    <row r="183" spans="1:9">
      <c r="A183" s="56"/>
      <c r="C183" s="57"/>
      <c r="I183" s="13" t="str">
        <f>IF(COUNTA(A183:H183)=0,"",IF(OR(A183="",B183="",C183="",C183&lt;=0),"CHECK: Date, Type and positive Amount required",IF(OR(AND(B183="Income",D183="",E183&lt;&gt;"",F183&lt;&gt;"",COUNTIFS(Accounts!$A$5:$A$50,E183,Accounts!$D$5:$D$50,"Asset")=1,COUNTIFS(Categories!$A$5:$A$100,F183,Categories!$C$5:$C$100,"Income")=1),AND(B183="Expense",D183&lt;&gt;"",E183="",F183&lt;&gt;"",COUNTIF(Accounts!$A$5:$A$50,D183)=1,COUNTIFS(Categories!$A$5:$A$100,F183,Categories!$C$5:$C$100,"Expense")=1),AND(B183="Refund",D183="",E183&lt;&gt;"",F183&lt;&gt;"",COUNTIF(Accounts!$A$5:$A$50,E183)=1,COUNTIFS(Categories!$A$5:$A$100,F183,Categories!$C$5:$C$100,"Expense")=1),AND(B183="Transfer",D183&lt;&gt;"",E183&lt;&gt;"",D183&lt;&gt;E183,F183="",COUNTIF(Accounts!$A$5:$A$50,D183)=1,COUNTIF(Accounts!$A$5:$A$50,E183)=1),AND(B183="Allocation",F183="Savings &amp; Investment",OR(AND(D183&lt;&gt;"",E183="",COUNTIFS(Accounts!$A$5:$A$50,D183,Accounts!$D$5:$D$50,"Asset")=1),AND(D183="",E183&lt;&gt;"",COUNTIFS(Accounts!$A$5:$A$50,E183,Accounts!$D$5:$D$50,"Asset")=1))),AND(B183="Adjustment",F183="",OR(AND(D183&lt;&gt;"",E183="",COUNTIF(Accounts!$A$5:$A$50,D183)=1),AND(D183="",E183&lt;&gt;"",COUNTIF(Accounts!$A$5:$A$50,E183)=1)))),"OK","CHECK: Type / account / category combination")))</f>
        <v/>
      </c>
    </row>
    <row r="184" spans="1:9">
      <c r="A184" s="56"/>
      <c r="C184" s="57"/>
      <c r="I184" s="13" t="str">
        <f>IF(COUNTA(A184:H184)=0,"",IF(OR(A184="",B184="",C184="",C184&lt;=0),"CHECK: Date, Type and positive Amount required",IF(OR(AND(B184="Income",D184="",E184&lt;&gt;"",F184&lt;&gt;"",COUNTIFS(Accounts!$A$5:$A$50,E184,Accounts!$D$5:$D$50,"Asset")=1,COUNTIFS(Categories!$A$5:$A$100,F184,Categories!$C$5:$C$100,"Income")=1),AND(B184="Expense",D184&lt;&gt;"",E184="",F184&lt;&gt;"",COUNTIF(Accounts!$A$5:$A$50,D184)=1,COUNTIFS(Categories!$A$5:$A$100,F184,Categories!$C$5:$C$100,"Expense")=1),AND(B184="Refund",D184="",E184&lt;&gt;"",F184&lt;&gt;"",COUNTIF(Accounts!$A$5:$A$50,E184)=1,COUNTIFS(Categories!$A$5:$A$100,F184,Categories!$C$5:$C$100,"Expense")=1),AND(B184="Transfer",D184&lt;&gt;"",E184&lt;&gt;"",D184&lt;&gt;E184,F184="",COUNTIF(Accounts!$A$5:$A$50,D184)=1,COUNTIF(Accounts!$A$5:$A$50,E184)=1),AND(B184="Allocation",F184="Savings &amp; Investment",OR(AND(D184&lt;&gt;"",E184="",COUNTIFS(Accounts!$A$5:$A$50,D184,Accounts!$D$5:$D$50,"Asset")=1),AND(D184="",E184&lt;&gt;"",COUNTIFS(Accounts!$A$5:$A$50,E184,Accounts!$D$5:$D$50,"Asset")=1))),AND(B184="Adjustment",F184="",OR(AND(D184&lt;&gt;"",E184="",COUNTIF(Accounts!$A$5:$A$50,D184)=1),AND(D184="",E184&lt;&gt;"",COUNTIF(Accounts!$A$5:$A$50,E184)=1)))),"OK","CHECK: Type / account / category combination")))</f>
        <v/>
      </c>
    </row>
    <row r="185" spans="1:9">
      <c r="A185" s="56"/>
      <c r="C185" s="57"/>
      <c r="I185" s="13" t="str">
        <f>IF(COUNTA(A185:H185)=0,"",IF(OR(A185="",B185="",C185="",C185&lt;=0),"CHECK: Date, Type and positive Amount required",IF(OR(AND(B185="Income",D185="",E185&lt;&gt;"",F185&lt;&gt;"",COUNTIFS(Accounts!$A$5:$A$50,E185,Accounts!$D$5:$D$50,"Asset")=1,COUNTIFS(Categories!$A$5:$A$100,F185,Categories!$C$5:$C$100,"Income")=1),AND(B185="Expense",D185&lt;&gt;"",E185="",F185&lt;&gt;"",COUNTIF(Accounts!$A$5:$A$50,D185)=1,COUNTIFS(Categories!$A$5:$A$100,F185,Categories!$C$5:$C$100,"Expense")=1),AND(B185="Refund",D185="",E185&lt;&gt;"",F185&lt;&gt;"",COUNTIF(Accounts!$A$5:$A$50,E185)=1,COUNTIFS(Categories!$A$5:$A$100,F185,Categories!$C$5:$C$100,"Expense")=1),AND(B185="Transfer",D185&lt;&gt;"",E185&lt;&gt;"",D185&lt;&gt;E185,F185="",COUNTIF(Accounts!$A$5:$A$50,D185)=1,COUNTIF(Accounts!$A$5:$A$50,E185)=1),AND(B185="Allocation",F185="Savings &amp; Investment",OR(AND(D185&lt;&gt;"",E185="",COUNTIFS(Accounts!$A$5:$A$50,D185,Accounts!$D$5:$D$50,"Asset")=1),AND(D185="",E185&lt;&gt;"",COUNTIFS(Accounts!$A$5:$A$50,E185,Accounts!$D$5:$D$50,"Asset")=1))),AND(B185="Adjustment",F185="",OR(AND(D185&lt;&gt;"",E185="",COUNTIF(Accounts!$A$5:$A$50,D185)=1),AND(D185="",E185&lt;&gt;"",COUNTIF(Accounts!$A$5:$A$50,E185)=1)))),"OK","CHECK: Type / account / category combination")))</f>
        <v/>
      </c>
    </row>
    <row r="186" spans="1:9">
      <c r="A186" s="56"/>
      <c r="C186" s="57"/>
      <c r="I186" s="13" t="str">
        <f>IF(COUNTA(A186:H186)=0,"",IF(OR(A186="",B186="",C186="",C186&lt;=0),"CHECK: Date, Type and positive Amount required",IF(OR(AND(B186="Income",D186="",E186&lt;&gt;"",F186&lt;&gt;"",COUNTIFS(Accounts!$A$5:$A$50,E186,Accounts!$D$5:$D$50,"Asset")=1,COUNTIFS(Categories!$A$5:$A$100,F186,Categories!$C$5:$C$100,"Income")=1),AND(B186="Expense",D186&lt;&gt;"",E186="",F186&lt;&gt;"",COUNTIF(Accounts!$A$5:$A$50,D186)=1,COUNTIFS(Categories!$A$5:$A$100,F186,Categories!$C$5:$C$100,"Expense")=1),AND(B186="Refund",D186="",E186&lt;&gt;"",F186&lt;&gt;"",COUNTIF(Accounts!$A$5:$A$50,E186)=1,COUNTIFS(Categories!$A$5:$A$100,F186,Categories!$C$5:$C$100,"Expense")=1),AND(B186="Transfer",D186&lt;&gt;"",E186&lt;&gt;"",D186&lt;&gt;E186,F186="",COUNTIF(Accounts!$A$5:$A$50,D186)=1,COUNTIF(Accounts!$A$5:$A$50,E186)=1),AND(B186="Allocation",F186="Savings &amp; Investment",OR(AND(D186&lt;&gt;"",E186="",COUNTIFS(Accounts!$A$5:$A$50,D186,Accounts!$D$5:$D$50,"Asset")=1),AND(D186="",E186&lt;&gt;"",COUNTIFS(Accounts!$A$5:$A$50,E186,Accounts!$D$5:$D$50,"Asset")=1))),AND(B186="Adjustment",F186="",OR(AND(D186&lt;&gt;"",E186="",COUNTIF(Accounts!$A$5:$A$50,D186)=1),AND(D186="",E186&lt;&gt;"",COUNTIF(Accounts!$A$5:$A$50,E186)=1)))),"OK","CHECK: Type / account / category combination")))</f>
        <v/>
      </c>
    </row>
    <row r="187" spans="1:9">
      <c r="A187" s="56"/>
      <c r="C187" s="57"/>
      <c r="I187" s="13" t="str">
        <f>IF(COUNTA(A187:H187)=0,"",IF(OR(A187="",B187="",C187="",C187&lt;=0),"CHECK: Date, Type and positive Amount required",IF(OR(AND(B187="Income",D187="",E187&lt;&gt;"",F187&lt;&gt;"",COUNTIFS(Accounts!$A$5:$A$50,E187,Accounts!$D$5:$D$50,"Asset")=1,COUNTIFS(Categories!$A$5:$A$100,F187,Categories!$C$5:$C$100,"Income")=1),AND(B187="Expense",D187&lt;&gt;"",E187="",F187&lt;&gt;"",COUNTIF(Accounts!$A$5:$A$50,D187)=1,COUNTIFS(Categories!$A$5:$A$100,F187,Categories!$C$5:$C$100,"Expense")=1),AND(B187="Refund",D187="",E187&lt;&gt;"",F187&lt;&gt;"",COUNTIF(Accounts!$A$5:$A$50,E187)=1,COUNTIFS(Categories!$A$5:$A$100,F187,Categories!$C$5:$C$100,"Expense")=1),AND(B187="Transfer",D187&lt;&gt;"",E187&lt;&gt;"",D187&lt;&gt;E187,F187="",COUNTIF(Accounts!$A$5:$A$50,D187)=1,COUNTIF(Accounts!$A$5:$A$50,E187)=1),AND(B187="Allocation",F187="Savings &amp; Investment",OR(AND(D187&lt;&gt;"",E187="",COUNTIFS(Accounts!$A$5:$A$50,D187,Accounts!$D$5:$D$50,"Asset")=1),AND(D187="",E187&lt;&gt;"",COUNTIFS(Accounts!$A$5:$A$50,E187,Accounts!$D$5:$D$50,"Asset")=1))),AND(B187="Adjustment",F187="",OR(AND(D187&lt;&gt;"",E187="",COUNTIF(Accounts!$A$5:$A$50,D187)=1),AND(D187="",E187&lt;&gt;"",COUNTIF(Accounts!$A$5:$A$50,E187)=1)))),"OK","CHECK: Type / account / category combination")))</f>
        <v/>
      </c>
    </row>
    <row r="188" spans="1:9">
      <c r="A188" s="56"/>
      <c r="C188" s="57"/>
      <c r="I188" s="13" t="str">
        <f>IF(COUNTA(A188:H188)=0,"",IF(OR(A188="",B188="",C188="",C188&lt;=0),"CHECK: Date, Type and positive Amount required",IF(OR(AND(B188="Income",D188="",E188&lt;&gt;"",F188&lt;&gt;"",COUNTIFS(Accounts!$A$5:$A$50,E188,Accounts!$D$5:$D$50,"Asset")=1,COUNTIFS(Categories!$A$5:$A$100,F188,Categories!$C$5:$C$100,"Income")=1),AND(B188="Expense",D188&lt;&gt;"",E188="",F188&lt;&gt;"",COUNTIF(Accounts!$A$5:$A$50,D188)=1,COUNTIFS(Categories!$A$5:$A$100,F188,Categories!$C$5:$C$100,"Expense")=1),AND(B188="Refund",D188="",E188&lt;&gt;"",F188&lt;&gt;"",COUNTIF(Accounts!$A$5:$A$50,E188)=1,COUNTIFS(Categories!$A$5:$A$100,F188,Categories!$C$5:$C$100,"Expense")=1),AND(B188="Transfer",D188&lt;&gt;"",E188&lt;&gt;"",D188&lt;&gt;E188,F188="",COUNTIF(Accounts!$A$5:$A$50,D188)=1,COUNTIF(Accounts!$A$5:$A$50,E188)=1),AND(B188="Allocation",F188="Savings &amp; Investment",OR(AND(D188&lt;&gt;"",E188="",COUNTIFS(Accounts!$A$5:$A$50,D188,Accounts!$D$5:$D$50,"Asset")=1),AND(D188="",E188&lt;&gt;"",COUNTIFS(Accounts!$A$5:$A$50,E188,Accounts!$D$5:$D$50,"Asset")=1))),AND(B188="Adjustment",F188="",OR(AND(D188&lt;&gt;"",E188="",COUNTIF(Accounts!$A$5:$A$50,D188)=1),AND(D188="",E188&lt;&gt;"",COUNTIF(Accounts!$A$5:$A$50,E188)=1)))),"OK","CHECK: Type / account / category combination")))</f>
        <v/>
      </c>
    </row>
    <row r="189" spans="1:9">
      <c r="A189" s="56"/>
      <c r="C189" s="57"/>
      <c r="I189" s="13" t="str">
        <f>IF(COUNTA(A189:H189)=0,"",IF(OR(A189="",B189="",C189="",C189&lt;=0),"CHECK: Date, Type and positive Amount required",IF(OR(AND(B189="Income",D189="",E189&lt;&gt;"",F189&lt;&gt;"",COUNTIFS(Accounts!$A$5:$A$50,E189,Accounts!$D$5:$D$50,"Asset")=1,COUNTIFS(Categories!$A$5:$A$100,F189,Categories!$C$5:$C$100,"Income")=1),AND(B189="Expense",D189&lt;&gt;"",E189="",F189&lt;&gt;"",COUNTIF(Accounts!$A$5:$A$50,D189)=1,COUNTIFS(Categories!$A$5:$A$100,F189,Categories!$C$5:$C$100,"Expense")=1),AND(B189="Refund",D189="",E189&lt;&gt;"",F189&lt;&gt;"",COUNTIF(Accounts!$A$5:$A$50,E189)=1,COUNTIFS(Categories!$A$5:$A$100,F189,Categories!$C$5:$C$100,"Expense")=1),AND(B189="Transfer",D189&lt;&gt;"",E189&lt;&gt;"",D189&lt;&gt;E189,F189="",COUNTIF(Accounts!$A$5:$A$50,D189)=1,COUNTIF(Accounts!$A$5:$A$50,E189)=1),AND(B189="Allocation",F189="Savings &amp; Investment",OR(AND(D189&lt;&gt;"",E189="",COUNTIFS(Accounts!$A$5:$A$50,D189,Accounts!$D$5:$D$50,"Asset")=1),AND(D189="",E189&lt;&gt;"",COUNTIFS(Accounts!$A$5:$A$50,E189,Accounts!$D$5:$D$50,"Asset")=1))),AND(B189="Adjustment",F189="",OR(AND(D189&lt;&gt;"",E189="",COUNTIF(Accounts!$A$5:$A$50,D189)=1),AND(D189="",E189&lt;&gt;"",COUNTIF(Accounts!$A$5:$A$50,E189)=1)))),"OK","CHECK: Type / account / category combination")))</f>
        <v/>
      </c>
    </row>
    <row r="190" spans="1:9">
      <c r="A190" s="56"/>
      <c r="C190" s="57"/>
      <c r="I190" s="13" t="str">
        <f>IF(COUNTA(A190:H190)=0,"",IF(OR(A190="",B190="",C190="",C190&lt;=0),"CHECK: Date, Type and positive Amount required",IF(OR(AND(B190="Income",D190="",E190&lt;&gt;"",F190&lt;&gt;"",COUNTIFS(Accounts!$A$5:$A$50,E190,Accounts!$D$5:$D$50,"Asset")=1,COUNTIFS(Categories!$A$5:$A$100,F190,Categories!$C$5:$C$100,"Income")=1),AND(B190="Expense",D190&lt;&gt;"",E190="",F190&lt;&gt;"",COUNTIF(Accounts!$A$5:$A$50,D190)=1,COUNTIFS(Categories!$A$5:$A$100,F190,Categories!$C$5:$C$100,"Expense")=1),AND(B190="Refund",D190="",E190&lt;&gt;"",F190&lt;&gt;"",COUNTIF(Accounts!$A$5:$A$50,E190)=1,COUNTIFS(Categories!$A$5:$A$100,F190,Categories!$C$5:$C$100,"Expense")=1),AND(B190="Transfer",D190&lt;&gt;"",E190&lt;&gt;"",D190&lt;&gt;E190,F190="",COUNTIF(Accounts!$A$5:$A$50,D190)=1,COUNTIF(Accounts!$A$5:$A$50,E190)=1),AND(B190="Allocation",F190="Savings &amp; Investment",OR(AND(D190&lt;&gt;"",E190="",COUNTIFS(Accounts!$A$5:$A$50,D190,Accounts!$D$5:$D$50,"Asset")=1),AND(D190="",E190&lt;&gt;"",COUNTIFS(Accounts!$A$5:$A$50,E190,Accounts!$D$5:$D$50,"Asset")=1))),AND(B190="Adjustment",F190="",OR(AND(D190&lt;&gt;"",E190="",COUNTIF(Accounts!$A$5:$A$50,D190)=1),AND(D190="",E190&lt;&gt;"",COUNTIF(Accounts!$A$5:$A$50,E190)=1)))),"OK","CHECK: Type / account / category combination")))</f>
        <v/>
      </c>
    </row>
    <row r="191" spans="1:9">
      <c r="A191" s="56"/>
      <c r="C191" s="57"/>
      <c r="I191" s="13" t="str">
        <f>IF(COUNTA(A191:H191)=0,"",IF(OR(A191="",B191="",C191="",C191&lt;=0),"CHECK: Date, Type and positive Amount required",IF(OR(AND(B191="Income",D191="",E191&lt;&gt;"",F191&lt;&gt;"",COUNTIFS(Accounts!$A$5:$A$50,E191,Accounts!$D$5:$D$50,"Asset")=1,COUNTIFS(Categories!$A$5:$A$100,F191,Categories!$C$5:$C$100,"Income")=1),AND(B191="Expense",D191&lt;&gt;"",E191="",F191&lt;&gt;"",COUNTIF(Accounts!$A$5:$A$50,D191)=1,COUNTIFS(Categories!$A$5:$A$100,F191,Categories!$C$5:$C$100,"Expense")=1),AND(B191="Refund",D191="",E191&lt;&gt;"",F191&lt;&gt;"",COUNTIF(Accounts!$A$5:$A$50,E191)=1,COUNTIFS(Categories!$A$5:$A$100,F191,Categories!$C$5:$C$100,"Expense")=1),AND(B191="Transfer",D191&lt;&gt;"",E191&lt;&gt;"",D191&lt;&gt;E191,F191="",COUNTIF(Accounts!$A$5:$A$50,D191)=1,COUNTIF(Accounts!$A$5:$A$50,E191)=1),AND(B191="Allocation",F191="Savings &amp; Investment",OR(AND(D191&lt;&gt;"",E191="",COUNTIFS(Accounts!$A$5:$A$50,D191,Accounts!$D$5:$D$50,"Asset")=1),AND(D191="",E191&lt;&gt;"",COUNTIFS(Accounts!$A$5:$A$50,E191,Accounts!$D$5:$D$50,"Asset")=1))),AND(B191="Adjustment",F191="",OR(AND(D191&lt;&gt;"",E191="",COUNTIF(Accounts!$A$5:$A$50,D191)=1),AND(D191="",E191&lt;&gt;"",COUNTIF(Accounts!$A$5:$A$50,E191)=1)))),"OK","CHECK: Type / account / category combination")))</f>
        <v/>
      </c>
    </row>
    <row r="192" spans="1:9">
      <c r="A192" s="56"/>
      <c r="C192" s="57"/>
      <c r="I192" s="13" t="str">
        <f>IF(COUNTA(A192:H192)=0,"",IF(OR(A192="",B192="",C192="",C192&lt;=0),"CHECK: Date, Type and positive Amount required",IF(OR(AND(B192="Income",D192="",E192&lt;&gt;"",F192&lt;&gt;"",COUNTIFS(Accounts!$A$5:$A$50,E192,Accounts!$D$5:$D$50,"Asset")=1,COUNTIFS(Categories!$A$5:$A$100,F192,Categories!$C$5:$C$100,"Income")=1),AND(B192="Expense",D192&lt;&gt;"",E192="",F192&lt;&gt;"",COUNTIF(Accounts!$A$5:$A$50,D192)=1,COUNTIFS(Categories!$A$5:$A$100,F192,Categories!$C$5:$C$100,"Expense")=1),AND(B192="Refund",D192="",E192&lt;&gt;"",F192&lt;&gt;"",COUNTIF(Accounts!$A$5:$A$50,E192)=1,COUNTIFS(Categories!$A$5:$A$100,F192,Categories!$C$5:$C$100,"Expense")=1),AND(B192="Transfer",D192&lt;&gt;"",E192&lt;&gt;"",D192&lt;&gt;E192,F192="",COUNTIF(Accounts!$A$5:$A$50,D192)=1,COUNTIF(Accounts!$A$5:$A$50,E192)=1),AND(B192="Allocation",F192="Savings &amp; Investment",OR(AND(D192&lt;&gt;"",E192="",COUNTIFS(Accounts!$A$5:$A$50,D192,Accounts!$D$5:$D$50,"Asset")=1),AND(D192="",E192&lt;&gt;"",COUNTIFS(Accounts!$A$5:$A$50,E192,Accounts!$D$5:$D$50,"Asset")=1))),AND(B192="Adjustment",F192="",OR(AND(D192&lt;&gt;"",E192="",COUNTIF(Accounts!$A$5:$A$50,D192)=1),AND(D192="",E192&lt;&gt;"",COUNTIF(Accounts!$A$5:$A$50,E192)=1)))),"OK","CHECK: Type / account / category combination")))</f>
        <v/>
      </c>
    </row>
    <row r="193" spans="1:9">
      <c r="A193" s="56"/>
      <c r="C193" s="57"/>
      <c r="I193" s="13" t="str">
        <f>IF(COUNTA(A193:H193)=0,"",IF(OR(A193="",B193="",C193="",C193&lt;=0),"CHECK: Date, Type and positive Amount required",IF(OR(AND(B193="Income",D193="",E193&lt;&gt;"",F193&lt;&gt;"",COUNTIFS(Accounts!$A$5:$A$50,E193,Accounts!$D$5:$D$50,"Asset")=1,COUNTIFS(Categories!$A$5:$A$100,F193,Categories!$C$5:$C$100,"Income")=1),AND(B193="Expense",D193&lt;&gt;"",E193="",F193&lt;&gt;"",COUNTIF(Accounts!$A$5:$A$50,D193)=1,COUNTIFS(Categories!$A$5:$A$100,F193,Categories!$C$5:$C$100,"Expense")=1),AND(B193="Refund",D193="",E193&lt;&gt;"",F193&lt;&gt;"",COUNTIF(Accounts!$A$5:$A$50,E193)=1,COUNTIFS(Categories!$A$5:$A$100,F193,Categories!$C$5:$C$100,"Expense")=1),AND(B193="Transfer",D193&lt;&gt;"",E193&lt;&gt;"",D193&lt;&gt;E193,F193="",COUNTIF(Accounts!$A$5:$A$50,D193)=1,COUNTIF(Accounts!$A$5:$A$50,E193)=1),AND(B193="Allocation",F193="Savings &amp; Investment",OR(AND(D193&lt;&gt;"",E193="",COUNTIFS(Accounts!$A$5:$A$50,D193,Accounts!$D$5:$D$50,"Asset")=1),AND(D193="",E193&lt;&gt;"",COUNTIFS(Accounts!$A$5:$A$50,E193,Accounts!$D$5:$D$50,"Asset")=1))),AND(B193="Adjustment",F193="",OR(AND(D193&lt;&gt;"",E193="",COUNTIF(Accounts!$A$5:$A$50,D193)=1),AND(D193="",E193&lt;&gt;"",COUNTIF(Accounts!$A$5:$A$50,E193)=1)))),"OK","CHECK: Type / account / category combination")))</f>
        <v/>
      </c>
    </row>
    <row r="194" spans="1:9">
      <c r="A194" s="56"/>
      <c r="C194" s="57"/>
      <c r="I194" s="13" t="str">
        <f>IF(COUNTA(A194:H194)=0,"",IF(OR(A194="",B194="",C194="",C194&lt;=0),"CHECK: Date, Type and positive Amount required",IF(OR(AND(B194="Income",D194="",E194&lt;&gt;"",F194&lt;&gt;"",COUNTIFS(Accounts!$A$5:$A$50,E194,Accounts!$D$5:$D$50,"Asset")=1,COUNTIFS(Categories!$A$5:$A$100,F194,Categories!$C$5:$C$100,"Income")=1),AND(B194="Expense",D194&lt;&gt;"",E194="",F194&lt;&gt;"",COUNTIF(Accounts!$A$5:$A$50,D194)=1,COUNTIFS(Categories!$A$5:$A$100,F194,Categories!$C$5:$C$100,"Expense")=1),AND(B194="Refund",D194="",E194&lt;&gt;"",F194&lt;&gt;"",COUNTIF(Accounts!$A$5:$A$50,E194)=1,COUNTIFS(Categories!$A$5:$A$100,F194,Categories!$C$5:$C$100,"Expense")=1),AND(B194="Transfer",D194&lt;&gt;"",E194&lt;&gt;"",D194&lt;&gt;E194,F194="",COUNTIF(Accounts!$A$5:$A$50,D194)=1,COUNTIF(Accounts!$A$5:$A$50,E194)=1),AND(B194="Allocation",F194="Savings &amp; Investment",OR(AND(D194&lt;&gt;"",E194="",COUNTIFS(Accounts!$A$5:$A$50,D194,Accounts!$D$5:$D$50,"Asset")=1),AND(D194="",E194&lt;&gt;"",COUNTIFS(Accounts!$A$5:$A$50,E194,Accounts!$D$5:$D$50,"Asset")=1))),AND(B194="Adjustment",F194="",OR(AND(D194&lt;&gt;"",E194="",COUNTIF(Accounts!$A$5:$A$50,D194)=1),AND(D194="",E194&lt;&gt;"",COUNTIF(Accounts!$A$5:$A$50,E194)=1)))),"OK","CHECK: Type / account / category combination")))</f>
        <v/>
      </c>
    </row>
    <row r="195" spans="1:9">
      <c r="A195" s="56"/>
      <c r="C195" s="57"/>
      <c r="I195" s="13" t="str">
        <f>IF(COUNTA(A195:H195)=0,"",IF(OR(A195="",B195="",C195="",C195&lt;=0),"CHECK: Date, Type and positive Amount required",IF(OR(AND(B195="Income",D195="",E195&lt;&gt;"",F195&lt;&gt;"",COUNTIFS(Accounts!$A$5:$A$50,E195,Accounts!$D$5:$D$50,"Asset")=1,COUNTIFS(Categories!$A$5:$A$100,F195,Categories!$C$5:$C$100,"Income")=1),AND(B195="Expense",D195&lt;&gt;"",E195="",F195&lt;&gt;"",COUNTIF(Accounts!$A$5:$A$50,D195)=1,COUNTIFS(Categories!$A$5:$A$100,F195,Categories!$C$5:$C$100,"Expense")=1),AND(B195="Refund",D195="",E195&lt;&gt;"",F195&lt;&gt;"",COUNTIF(Accounts!$A$5:$A$50,E195)=1,COUNTIFS(Categories!$A$5:$A$100,F195,Categories!$C$5:$C$100,"Expense")=1),AND(B195="Transfer",D195&lt;&gt;"",E195&lt;&gt;"",D195&lt;&gt;E195,F195="",COUNTIF(Accounts!$A$5:$A$50,D195)=1,COUNTIF(Accounts!$A$5:$A$50,E195)=1),AND(B195="Allocation",F195="Savings &amp; Investment",OR(AND(D195&lt;&gt;"",E195="",COUNTIFS(Accounts!$A$5:$A$50,D195,Accounts!$D$5:$D$50,"Asset")=1),AND(D195="",E195&lt;&gt;"",COUNTIFS(Accounts!$A$5:$A$50,E195,Accounts!$D$5:$D$50,"Asset")=1))),AND(B195="Adjustment",F195="",OR(AND(D195&lt;&gt;"",E195="",COUNTIF(Accounts!$A$5:$A$50,D195)=1),AND(D195="",E195&lt;&gt;"",COUNTIF(Accounts!$A$5:$A$50,E195)=1)))),"OK","CHECK: Type / account / category combination")))</f>
        <v/>
      </c>
    </row>
    <row r="196" spans="1:9">
      <c r="A196" s="56"/>
      <c r="C196" s="57"/>
      <c r="I196" s="13" t="str">
        <f>IF(COUNTA(A196:H196)=0,"",IF(OR(A196="",B196="",C196="",C196&lt;=0),"CHECK: Date, Type and positive Amount required",IF(OR(AND(B196="Income",D196="",E196&lt;&gt;"",F196&lt;&gt;"",COUNTIFS(Accounts!$A$5:$A$50,E196,Accounts!$D$5:$D$50,"Asset")=1,COUNTIFS(Categories!$A$5:$A$100,F196,Categories!$C$5:$C$100,"Income")=1),AND(B196="Expense",D196&lt;&gt;"",E196="",F196&lt;&gt;"",COUNTIF(Accounts!$A$5:$A$50,D196)=1,COUNTIFS(Categories!$A$5:$A$100,F196,Categories!$C$5:$C$100,"Expense")=1),AND(B196="Refund",D196="",E196&lt;&gt;"",F196&lt;&gt;"",COUNTIF(Accounts!$A$5:$A$50,E196)=1,COUNTIFS(Categories!$A$5:$A$100,F196,Categories!$C$5:$C$100,"Expense")=1),AND(B196="Transfer",D196&lt;&gt;"",E196&lt;&gt;"",D196&lt;&gt;E196,F196="",COUNTIF(Accounts!$A$5:$A$50,D196)=1,COUNTIF(Accounts!$A$5:$A$50,E196)=1),AND(B196="Allocation",F196="Savings &amp; Investment",OR(AND(D196&lt;&gt;"",E196="",COUNTIFS(Accounts!$A$5:$A$50,D196,Accounts!$D$5:$D$50,"Asset")=1),AND(D196="",E196&lt;&gt;"",COUNTIFS(Accounts!$A$5:$A$50,E196,Accounts!$D$5:$D$50,"Asset")=1))),AND(B196="Adjustment",F196="",OR(AND(D196&lt;&gt;"",E196="",COUNTIF(Accounts!$A$5:$A$50,D196)=1),AND(D196="",E196&lt;&gt;"",COUNTIF(Accounts!$A$5:$A$50,E196)=1)))),"OK","CHECK: Type / account / category combination")))</f>
        <v/>
      </c>
    </row>
    <row r="197" spans="1:9">
      <c r="A197" s="56"/>
      <c r="C197" s="57"/>
      <c r="I197" s="13" t="str">
        <f>IF(COUNTA(A197:H197)=0,"",IF(OR(A197="",B197="",C197="",C197&lt;=0),"CHECK: Date, Type and positive Amount required",IF(OR(AND(B197="Income",D197="",E197&lt;&gt;"",F197&lt;&gt;"",COUNTIFS(Accounts!$A$5:$A$50,E197,Accounts!$D$5:$D$50,"Asset")=1,COUNTIFS(Categories!$A$5:$A$100,F197,Categories!$C$5:$C$100,"Income")=1),AND(B197="Expense",D197&lt;&gt;"",E197="",F197&lt;&gt;"",COUNTIF(Accounts!$A$5:$A$50,D197)=1,COUNTIFS(Categories!$A$5:$A$100,F197,Categories!$C$5:$C$100,"Expense")=1),AND(B197="Refund",D197="",E197&lt;&gt;"",F197&lt;&gt;"",COUNTIF(Accounts!$A$5:$A$50,E197)=1,COUNTIFS(Categories!$A$5:$A$100,F197,Categories!$C$5:$C$100,"Expense")=1),AND(B197="Transfer",D197&lt;&gt;"",E197&lt;&gt;"",D197&lt;&gt;E197,F197="",COUNTIF(Accounts!$A$5:$A$50,D197)=1,COUNTIF(Accounts!$A$5:$A$50,E197)=1),AND(B197="Allocation",F197="Savings &amp; Investment",OR(AND(D197&lt;&gt;"",E197="",COUNTIFS(Accounts!$A$5:$A$50,D197,Accounts!$D$5:$D$50,"Asset")=1),AND(D197="",E197&lt;&gt;"",COUNTIFS(Accounts!$A$5:$A$50,E197,Accounts!$D$5:$D$50,"Asset")=1))),AND(B197="Adjustment",F197="",OR(AND(D197&lt;&gt;"",E197="",COUNTIF(Accounts!$A$5:$A$50,D197)=1),AND(D197="",E197&lt;&gt;"",COUNTIF(Accounts!$A$5:$A$50,E197)=1)))),"OK","CHECK: Type / account / category combination")))</f>
        <v/>
      </c>
    </row>
    <row r="198" spans="1:9">
      <c r="A198" s="56"/>
      <c r="C198" s="57"/>
      <c r="I198" s="13" t="str">
        <f>IF(COUNTA(A198:H198)=0,"",IF(OR(A198="",B198="",C198="",C198&lt;=0),"CHECK: Date, Type and positive Amount required",IF(OR(AND(B198="Income",D198="",E198&lt;&gt;"",F198&lt;&gt;"",COUNTIFS(Accounts!$A$5:$A$50,E198,Accounts!$D$5:$D$50,"Asset")=1,COUNTIFS(Categories!$A$5:$A$100,F198,Categories!$C$5:$C$100,"Income")=1),AND(B198="Expense",D198&lt;&gt;"",E198="",F198&lt;&gt;"",COUNTIF(Accounts!$A$5:$A$50,D198)=1,COUNTIFS(Categories!$A$5:$A$100,F198,Categories!$C$5:$C$100,"Expense")=1),AND(B198="Refund",D198="",E198&lt;&gt;"",F198&lt;&gt;"",COUNTIF(Accounts!$A$5:$A$50,E198)=1,COUNTIFS(Categories!$A$5:$A$100,F198,Categories!$C$5:$C$100,"Expense")=1),AND(B198="Transfer",D198&lt;&gt;"",E198&lt;&gt;"",D198&lt;&gt;E198,F198="",COUNTIF(Accounts!$A$5:$A$50,D198)=1,COUNTIF(Accounts!$A$5:$A$50,E198)=1),AND(B198="Allocation",F198="Savings &amp; Investment",OR(AND(D198&lt;&gt;"",E198="",COUNTIFS(Accounts!$A$5:$A$50,D198,Accounts!$D$5:$D$50,"Asset")=1),AND(D198="",E198&lt;&gt;"",COUNTIFS(Accounts!$A$5:$A$50,E198,Accounts!$D$5:$D$50,"Asset")=1))),AND(B198="Adjustment",F198="",OR(AND(D198&lt;&gt;"",E198="",COUNTIF(Accounts!$A$5:$A$50,D198)=1),AND(D198="",E198&lt;&gt;"",COUNTIF(Accounts!$A$5:$A$50,E198)=1)))),"OK","CHECK: Type / account / category combination")))</f>
        <v/>
      </c>
    </row>
    <row r="199" spans="1:9">
      <c r="A199" s="56"/>
      <c r="C199" s="57"/>
      <c r="I199" s="13" t="str">
        <f>IF(COUNTA(A199:H199)=0,"",IF(OR(A199="",B199="",C199="",C199&lt;=0),"CHECK: Date, Type and positive Amount required",IF(OR(AND(B199="Income",D199="",E199&lt;&gt;"",F199&lt;&gt;"",COUNTIFS(Accounts!$A$5:$A$50,E199,Accounts!$D$5:$D$50,"Asset")=1,COUNTIFS(Categories!$A$5:$A$100,F199,Categories!$C$5:$C$100,"Income")=1),AND(B199="Expense",D199&lt;&gt;"",E199="",F199&lt;&gt;"",COUNTIF(Accounts!$A$5:$A$50,D199)=1,COUNTIFS(Categories!$A$5:$A$100,F199,Categories!$C$5:$C$100,"Expense")=1),AND(B199="Refund",D199="",E199&lt;&gt;"",F199&lt;&gt;"",COUNTIF(Accounts!$A$5:$A$50,E199)=1,COUNTIFS(Categories!$A$5:$A$100,F199,Categories!$C$5:$C$100,"Expense")=1),AND(B199="Transfer",D199&lt;&gt;"",E199&lt;&gt;"",D199&lt;&gt;E199,F199="",COUNTIF(Accounts!$A$5:$A$50,D199)=1,COUNTIF(Accounts!$A$5:$A$50,E199)=1),AND(B199="Allocation",F199="Savings &amp; Investment",OR(AND(D199&lt;&gt;"",E199="",COUNTIFS(Accounts!$A$5:$A$50,D199,Accounts!$D$5:$D$50,"Asset")=1),AND(D199="",E199&lt;&gt;"",COUNTIFS(Accounts!$A$5:$A$50,E199,Accounts!$D$5:$D$50,"Asset")=1))),AND(B199="Adjustment",F199="",OR(AND(D199&lt;&gt;"",E199="",COUNTIF(Accounts!$A$5:$A$50,D199)=1),AND(D199="",E199&lt;&gt;"",COUNTIF(Accounts!$A$5:$A$50,E199)=1)))),"OK","CHECK: Type / account / category combination")))</f>
        <v/>
      </c>
    </row>
    <row r="200" spans="1:9">
      <c r="A200" s="56"/>
      <c r="C200" s="57"/>
      <c r="I200" s="13" t="str">
        <f>IF(COUNTA(A200:H200)=0,"",IF(OR(A200="",B200="",C200="",C200&lt;=0),"CHECK: Date, Type and positive Amount required",IF(OR(AND(B200="Income",D200="",E200&lt;&gt;"",F200&lt;&gt;"",COUNTIFS(Accounts!$A$5:$A$50,E200,Accounts!$D$5:$D$50,"Asset")=1,COUNTIFS(Categories!$A$5:$A$100,F200,Categories!$C$5:$C$100,"Income")=1),AND(B200="Expense",D200&lt;&gt;"",E200="",F200&lt;&gt;"",COUNTIF(Accounts!$A$5:$A$50,D200)=1,COUNTIFS(Categories!$A$5:$A$100,F200,Categories!$C$5:$C$100,"Expense")=1),AND(B200="Refund",D200="",E200&lt;&gt;"",F200&lt;&gt;"",COUNTIF(Accounts!$A$5:$A$50,E200)=1,COUNTIFS(Categories!$A$5:$A$100,F200,Categories!$C$5:$C$100,"Expense")=1),AND(B200="Transfer",D200&lt;&gt;"",E200&lt;&gt;"",D200&lt;&gt;E200,F200="",COUNTIF(Accounts!$A$5:$A$50,D200)=1,COUNTIF(Accounts!$A$5:$A$50,E200)=1),AND(B200="Allocation",F200="Savings &amp; Investment",OR(AND(D200&lt;&gt;"",E200="",COUNTIFS(Accounts!$A$5:$A$50,D200,Accounts!$D$5:$D$50,"Asset")=1),AND(D200="",E200&lt;&gt;"",COUNTIFS(Accounts!$A$5:$A$50,E200,Accounts!$D$5:$D$50,"Asset")=1))),AND(B200="Adjustment",F200="",OR(AND(D200&lt;&gt;"",E200="",COUNTIF(Accounts!$A$5:$A$50,D200)=1),AND(D200="",E200&lt;&gt;"",COUNTIF(Accounts!$A$5:$A$50,E200)=1)))),"OK","CHECK: Type / account / category combination")))</f>
        <v/>
      </c>
    </row>
    <row r="201" spans="1:9">
      <c r="A201" s="56"/>
      <c r="C201" s="57"/>
      <c r="I201" s="13" t="str">
        <f>IF(COUNTA(A201:H201)=0,"",IF(OR(A201="",B201="",C201="",C201&lt;=0),"CHECK: Date, Type and positive Amount required",IF(OR(AND(B201="Income",D201="",E201&lt;&gt;"",F201&lt;&gt;"",COUNTIFS(Accounts!$A$5:$A$50,E201,Accounts!$D$5:$D$50,"Asset")=1,COUNTIFS(Categories!$A$5:$A$100,F201,Categories!$C$5:$C$100,"Income")=1),AND(B201="Expense",D201&lt;&gt;"",E201="",F201&lt;&gt;"",COUNTIF(Accounts!$A$5:$A$50,D201)=1,COUNTIFS(Categories!$A$5:$A$100,F201,Categories!$C$5:$C$100,"Expense")=1),AND(B201="Refund",D201="",E201&lt;&gt;"",F201&lt;&gt;"",COUNTIF(Accounts!$A$5:$A$50,E201)=1,COUNTIFS(Categories!$A$5:$A$100,F201,Categories!$C$5:$C$100,"Expense")=1),AND(B201="Transfer",D201&lt;&gt;"",E201&lt;&gt;"",D201&lt;&gt;E201,F201="",COUNTIF(Accounts!$A$5:$A$50,D201)=1,COUNTIF(Accounts!$A$5:$A$50,E201)=1),AND(B201="Allocation",F201="Savings &amp; Investment",OR(AND(D201&lt;&gt;"",E201="",COUNTIFS(Accounts!$A$5:$A$50,D201,Accounts!$D$5:$D$50,"Asset")=1),AND(D201="",E201&lt;&gt;"",COUNTIFS(Accounts!$A$5:$A$50,E201,Accounts!$D$5:$D$50,"Asset")=1))),AND(B201="Adjustment",F201="",OR(AND(D201&lt;&gt;"",E201="",COUNTIF(Accounts!$A$5:$A$50,D201)=1),AND(D201="",E201&lt;&gt;"",COUNTIF(Accounts!$A$5:$A$50,E201)=1)))),"OK","CHECK: Type / account / category combination")))</f>
        <v/>
      </c>
    </row>
    <row r="202" spans="1:9">
      <c r="A202" s="56"/>
      <c r="C202" s="57"/>
      <c r="I202" s="13" t="str">
        <f>IF(COUNTA(A202:H202)=0,"",IF(OR(A202="",B202="",C202="",C202&lt;=0),"CHECK: Date, Type and positive Amount required",IF(OR(AND(B202="Income",D202="",E202&lt;&gt;"",F202&lt;&gt;"",COUNTIFS(Accounts!$A$5:$A$50,E202,Accounts!$D$5:$D$50,"Asset")=1,COUNTIFS(Categories!$A$5:$A$100,F202,Categories!$C$5:$C$100,"Income")=1),AND(B202="Expense",D202&lt;&gt;"",E202="",F202&lt;&gt;"",COUNTIF(Accounts!$A$5:$A$50,D202)=1,COUNTIFS(Categories!$A$5:$A$100,F202,Categories!$C$5:$C$100,"Expense")=1),AND(B202="Refund",D202="",E202&lt;&gt;"",F202&lt;&gt;"",COUNTIF(Accounts!$A$5:$A$50,E202)=1,COUNTIFS(Categories!$A$5:$A$100,F202,Categories!$C$5:$C$100,"Expense")=1),AND(B202="Transfer",D202&lt;&gt;"",E202&lt;&gt;"",D202&lt;&gt;E202,F202="",COUNTIF(Accounts!$A$5:$A$50,D202)=1,COUNTIF(Accounts!$A$5:$A$50,E202)=1),AND(B202="Allocation",F202="Savings &amp; Investment",OR(AND(D202&lt;&gt;"",E202="",COUNTIFS(Accounts!$A$5:$A$50,D202,Accounts!$D$5:$D$50,"Asset")=1),AND(D202="",E202&lt;&gt;"",COUNTIFS(Accounts!$A$5:$A$50,E202,Accounts!$D$5:$D$50,"Asset")=1))),AND(B202="Adjustment",F202="",OR(AND(D202&lt;&gt;"",E202="",COUNTIF(Accounts!$A$5:$A$50,D202)=1),AND(D202="",E202&lt;&gt;"",COUNTIF(Accounts!$A$5:$A$50,E202)=1)))),"OK","CHECK: Type / account / category combination")))</f>
        <v/>
      </c>
    </row>
    <row r="203" spans="1:9">
      <c r="A203" s="56"/>
      <c r="C203" s="57"/>
      <c r="I203" s="13" t="str">
        <f>IF(COUNTA(A203:H203)=0,"",IF(OR(A203="",B203="",C203="",C203&lt;=0),"CHECK: Date, Type and positive Amount required",IF(OR(AND(B203="Income",D203="",E203&lt;&gt;"",F203&lt;&gt;"",COUNTIFS(Accounts!$A$5:$A$50,E203,Accounts!$D$5:$D$50,"Asset")=1,COUNTIFS(Categories!$A$5:$A$100,F203,Categories!$C$5:$C$100,"Income")=1),AND(B203="Expense",D203&lt;&gt;"",E203="",F203&lt;&gt;"",COUNTIF(Accounts!$A$5:$A$50,D203)=1,COUNTIFS(Categories!$A$5:$A$100,F203,Categories!$C$5:$C$100,"Expense")=1),AND(B203="Refund",D203="",E203&lt;&gt;"",F203&lt;&gt;"",COUNTIF(Accounts!$A$5:$A$50,E203)=1,COUNTIFS(Categories!$A$5:$A$100,F203,Categories!$C$5:$C$100,"Expense")=1),AND(B203="Transfer",D203&lt;&gt;"",E203&lt;&gt;"",D203&lt;&gt;E203,F203="",COUNTIF(Accounts!$A$5:$A$50,D203)=1,COUNTIF(Accounts!$A$5:$A$50,E203)=1),AND(B203="Allocation",F203="Savings &amp; Investment",OR(AND(D203&lt;&gt;"",E203="",COUNTIFS(Accounts!$A$5:$A$50,D203,Accounts!$D$5:$D$50,"Asset")=1),AND(D203="",E203&lt;&gt;"",COUNTIFS(Accounts!$A$5:$A$50,E203,Accounts!$D$5:$D$50,"Asset")=1))),AND(B203="Adjustment",F203="",OR(AND(D203&lt;&gt;"",E203="",COUNTIF(Accounts!$A$5:$A$50,D203)=1),AND(D203="",E203&lt;&gt;"",COUNTIF(Accounts!$A$5:$A$50,E203)=1)))),"OK","CHECK: Type / account / category combination")))</f>
        <v/>
      </c>
    </row>
    <row r="204" spans="1:9">
      <c r="A204" s="56"/>
      <c r="C204" s="57"/>
      <c r="I204" s="13" t="str">
        <f>IF(COUNTA(A204:H204)=0,"",IF(OR(A204="",B204="",C204="",C204&lt;=0),"CHECK: Date, Type and positive Amount required",IF(OR(AND(B204="Income",D204="",E204&lt;&gt;"",F204&lt;&gt;"",COUNTIFS(Accounts!$A$5:$A$50,E204,Accounts!$D$5:$D$50,"Asset")=1,COUNTIFS(Categories!$A$5:$A$100,F204,Categories!$C$5:$C$100,"Income")=1),AND(B204="Expense",D204&lt;&gt;"",E204="",F204&lt;&gt;"",COUNTIF(Accounts!$A$5:$A$50,D204)=1,COUNTIFS(Categories!$A$5:$A$100,F204,Categories!$C$5:$C$100,"Expense")=1),AND(B204="Refund",D204="",E204&lt;&gt;"",F204&lt;&gt;"",COUNTIF(Accounts!$A$5:$A$50,E204)=1,COUNTIFS(Categories!$A$5:$A$100,F204,Categories!$C$5:$C$100,"Expense")=1),AND(B204="Transfer",D204&lt;&gt;"",E204&lt;&gt;"",D204&lt;&gt;E204,F204="",COUNTIF(Accounts!$A$5:$A$50,D204)=1,COUNTIF(Accounts!$A$5:$A$50,E204)=1),AND(B204="Allocation",F204="Savings &amp; Investment",OR(AND(D204&lt;&gt;"",E204="",COUNTIFS(Accounts!$A$5:$A$50,D204,Accounts!$D$5:$D$50,"Asset")=1),AND(D204="",E204&lt;&gt;"",COUNTIFS(Accounts!$A$5:$A$50,E204,Accounts!$D$5:$D$50,"Asset")=1))),AND(B204="Adjustment",F204="",OR(AND(D204&lt;&gt;"",E204="",COUNTIF(Accounts!$A$5:$A$50,D204)=1),AND(D204="",E204&lt;&gt;"",COUNTIF(Accounts!$A$5:$A$50,E204)=1)))),"OK","CHECK: Type / account / category combination")))</f>
        <v/>
      </c>
    </row>
    <row r="205" spans="1:9">
      <c r="A205" s="56"/>
      <c r="C205" s="57"/>
      <c r="I205" s="13" t="str">
        <f>IF(COUNTA(A205:H205)=0,"",IF(OR(A205="",B205="",C205="",C205&lt;=0),"CHECK: Date, Type and positive Amount required",IF(OR(AND(B205="Income",D205="",E205&lt;&gt;"",F205&lt;&gt;"",COUNTIFS(Accounts!$A$5:$A$50,E205,Accounts!$D$5:$D$50,"Asset")=1,COUNTIFS(Categories!$A$5:$A$100,F205,Categories!$C$5:$C$100,"Income")=1),AND(B205="Expense",D205&lt;&gt;"",E205="",F205&lt;&gt;"",COUNTIF(Accounts!$A$5:$A$50,D205)=1,COUNTIFS(Categories!$A$5:$A$100,F205,Categories!$C$5:$C$100,"Expense")=1),AND(B205="Refund",D205="",E205&lt;&gt;"",F205&lt;&gt;"",COUNTIF(Accounts!$A$5:$A$50,E205)=1,COUNTIFS(Categories!$A$5:$A$100,F205,Categories!$C$5:$C$100,"Expense")=1),AND(B205="Transfer",D205&lt;&gt;"",E205&lt;&gt;"",D205&lt;&gt;E205,F205="",COUNTIF(Accounts!$A$5:$A$50,D205)=1,COUNTIF(Accounts!$A$5:$A$50,E205)=1),AND(B205="Allocation",F205="Savings &amp; Investment",OR(AND(D205&lt;&gt;"",E205="",COUNTIFS(Accounts!$A$5:$A$50,D205,Accounts!$D$5:$D$50,"Asset")=1),AND(D205="",E205&lt;&gt;"",COUNTIFS(Accounts!$A$5:$A$50,E205,Accounts!$D$5:$D$50,"Asset")=1))),AND(B205="Adjustment",F205="",OR(AND(D205&lt;&gt;"",E205="",COUNTIF(Accounts!$A$5:$A$50,D205)=1),AND(D205="",E205&lt;&gt;"",COUNTIF(Accounts!$A$5:$A$50,E205)=1)))),"OK","CHECK: Type / account / category combination")))</f>
        <v/>
      </c>
    </row>
    <row r="206" spans="1:9">
      <c r="A206" s="56"/>
      <c r="C206" s="57"/>
      <c r="I206" s="13" t="str">
        <f>IF(COUNTA(A206:H206)=0,"",IF(OR(A206="",B206="",C206="",C206&lt;=0),"CHECK: Date, Type and positive Amount required",IF(OR(AND(B206="Income",D206="",E206&lt;&gt;"",F206&lt;&gt;"",COUNTIFS(Accounts!$A$5:$A$50,E206,Accounts!$D$5:$D$50,"Asset")=1,COUNTIFS(Categories!$A$5:$A$100,F206,Categories!$C$5:$C$100,"Income")=1),AND(B206="Expense",D206&lt;&gt;"",E206="",F206&lt;&gt;"",COUNTIF(Accounts!$A$5:$A$50,D206)=1,COUNTIFS(Categories!$A$5:$A$100,F206,Categories!$C$5:$C$100,"Expense")=1),AND(B206="Refund",D206="",E206&lt;&gt;"",F206&lt;&gt;"",COUNTIF(Accounts!$A$5:$A$50,E206)=1,COUNTIFS(Categories!$A$5:$A$100,F206,Categories!$C$5:$C$100,"Expense")=1),AND(B206="Transfer",D206&lt;&gt;"",E206&lt;&gt;"",D206&lt;&gt;E206,F206="",COUNTIF(Accounts!$A$5:$A$50,D206)=1,COUNTIF(Accounts!$A$5:$A$50,E206)=1),AND(B206="Allocation",F206="Savings &amp; Investment",OR(AND(D206&lt;&gt;"",E206="",COUNTIFS(Accounts!$A$5:$A$50,D206,Accounts!$D$5:$D$50,"Asset")=1),AND(D206="",E206&lt;&gt;"",COUNTIFS(Accounts!$A$5:$A$50,E206,Accounts!$D$5:$D$50,"Asset")=1))),AND(B206="Adjustment",F206="",OR(AND(D206&lt;&gt;"",E206="",COUNTIF(Accounts!$A$5:$A$50,D206)=1),AND(D206="",E206&lt;&gt;"",COUNTIF(Accounts!$A$5:$A$50,E206)=1)))),"OK","CHECK: Type / account / category combination")))</f>
        <v/>
      </c>
    </row>
    <row r="207" spans="1:9">
      <c r="A207" s="56"/>
      <c r="C207" s="57"/>
      <c r="I207" s="13" t="str">
        <f>IF(COUNTA(A207:H207)=0,"",IF(OR(A207="",B207="",C207="",C207&lt;=0),"CHECK: Date, Type and positive Amount required",IF(OR(AND(B207="Income",D207="",E207&lt;&gt;"",F207&lt;&gt;"",COUNTIFS(Accounts!$A$5:$A$50,E207,Accounts!$D$5:$D$50,"Asset")=1,COUNTIFS(Categories!$A$5:$A$100,F207,Categories!$C$5:$C$100,"Income")=1),AND(B207="Expense",D207&lt;&gt;"",E207="",F207&lt;&gt;"",COUNTIF(Accounts!$A$5:$A$50,D207)=1,COUNTIFS(Categories!$A$5:$A$100,F207,Categories!$C$5:$C$100,"Expense")=1),AND(B207="Refund",D207="",E207&lt;&gt;"",F207&lt;&gt;"",COUNTIF(Accounts!$A$5:$A$50,E207)=1,COUNTIFS(Categories!$A$5:$A$100,F207,Categories!$C$5:$C$100,"Expense")=1),AND(B207="Transfer",D207&lt;&gt;"",E207&lt;&gt;"",D207&lt;&gt;E207,F207="",COUNTIF(Accounts!$A$5:$A$50,D207)=1,COUNTIF(Accounts!$A$5:$A$50,E207)=1),AND(B207="Allocation",F207="Savings &amp; Investment",OR(AND(D207&lt;&gt;"",E207="",COUNTIFS(Accounts!$A$5:$A$50,D207,Accounts!$D$5:$D$50,"Asset")=1),AND(D207="",E207&lt;&gt;"",COUNTIFS(Accounts!$A$5:$A$50,E207,Accounts!$D$5:$D$50,"Asset")=1))),AND(B207="Adjustment",F207="",OR(AND(D207&lt;&gt;"",E207="",COUNTIF(Accounts!$A$5:$A$50,D207)=1),AND(D207="",E207&lt;&gt;"",COUNTIF(Accounts!$A$5:$A$50,E207)=1)))),"OK","CHECK: Type / account / category combination")))</f>
        <v/>
      </c>
    </row>
    <row r="208" spans="1:9">
      <c r="A208" s="56"/>
      <c r="C208" s="57"/>
      <c r="I208" s="13" t="str">
        <f>IF(COUNTA(A208:H208)=0,"",IF(OR(A208="",B208="",C208="",C208&lt;=0),"CHECK: Date, Type and positive Amount required",IF(OR(AND(B208="Income",D208="",E208&lt;&gt;"",F208&lt;&gt;"",COUNTIFS(Accounts!$A$5:$A$50,E208,Accounts!$D$5:$D$50,"Asset")=1,COUNTIFS(Categories!$A$5:$A$100,F208,Categories!$C$5:$C$100,"Income")=1),AND(B208="Expense",D208&lt;&gt;"",E208="",F208&lt;&gt;"",COUNTIF(Accounts!$A$5:$A$50,D208)=1,COUNTIFS(Categories!$A$5:$A$100,F208,Categories!$C$5:$C$100,"Expense")=1),AND(B208="Refund",D208="",E208&lt;&gt;"",F208&lt;&gt;"",COUNTIF(Accounts!$A$5:$A$50,E208)=1,COUNTIFS(Categories!$A$5:$A$100,F208,Categories!$C$5:$C$100,"Expense")=1),AND(B208="Transfer",D208&lt;&gt;"",E208&lt;&gt;"",D208&lt;&gt;E208,F208="",COUNTIF(Accounts!$A$5:$A$50,D208)=1,COUNTIF(Accounts!$A$5:$A$50,E208)=1),AND(B208="Allocation",F208="Savings &amp; Investment",OR(AND(D208&lt;&gt;"",E208="",COUNTIFS(Accounts!$A$5:$A$50,D208,Accounts!$D$5:$D$50,"Asset")=1),AND(D208="",E208&lt;&gt;"",COUNTIFS(Accounts!$A$5:$A$50,E208,Accounts!$D$5:$D$50,"Asset")=1))),AND(B208="Adjustment",F208="",OR(AND(D208&lt;&gt;"",E208="",COUNTIF(Accounts!$A$5:$A$50,D208)=1),AND(D208="",E208&lt;&gt;"",COUNTIF(Accounts!$A$5:$A$50,E208)=1)))),"OK","CHECK: Type / account / category combination")))</f>
        <v/>
      </c>
    </row>
    <row r="209" spans="1:9">
      <c r="A209" s="56"/>
      <c r="C209" s="57"/>
      <c r="I209" s="13" t="str">
        <f>IF(COUNTA(A209:H209)=0,"",IF(OR(A209="",B209="",C209="",C209&lt;=0),"CHECK: Date, Type and positive Amount required",IF(OR(AND(B209="Income",D209="",E209&lt;&gt;"",F209&lt;&gt;"",COUNTIFS(Accounts!$A$5:$A$50,E209,Accounts!$D$5:$D$50,"Asset")=1,COUNTIFS(Categories!$A$5:$A$100,F209,Categories!$C$5:$C$100,"Income")=1),AND(B209="Expense",D209&lt;&gt;"",E209="",F209&lt;&gt;"",COUNTIF(Accounts!$A$5:$A$50,D209)=1,COUNTIFS(Categories!$A$5:$A$100,F209,Categories!$C$5:$C$100,"Expense")=1),AND(B209="Refund",D209="",E209&lt;&gt;"",F209&lt;&gt;"",COUNTIF(Accounts!$A$5:$A$50,E209)=1,COUNTIFS(Categories!$A$5:$A$100,F209,Categories!$C$5:$C$100,"Expense")=1),AND(B209="Transfer",D209&lt;&gt;"",E209&lt;&gt;"",D209&lt;&gt;E209,F209="",COUNTIF(Accounts!$A$5:$A$50,D209)=1,COUNTIF(Accounts!$A$5:$A$50,E209)=1),AND(B209="Allocation",F209="Savings &amp; Investment",OR(AND(D209&lt;&gt;"",E209="",COUNTIFS(Accounts!$A$5:$A$50,D209,Accounts!$D$5:$D$50,"Asset")=1),AND(D209="",E209&lt;&gt;"",COUNTIFS(Accounts!$A$5:$A$50,E209,Accounts!$D$5:$D$50,"Asset")=1))),AND(B209="Adjustment",F209="",OR(AND(D209&lt;&gt;"",E209="",COUNTIF(Accounts!$A$5:$A$50,D209)=1),AND(D209="",E209&lt;&gt;"",COUNTIF(Accounts!$A$5:$A$50,E209)=1)))),"OK","CHECK: Type / account / category combination")))</f>
        <v/>
      </c>
    </row>
    <row r="210" spans="1:9">
      <c r="A210" s="56"/>
      <c r="C210" s="57"/>
      <c r="I210" s="13" t="str">
        <f>IF(COUNTA(A210:H210)=0,"",IF(OR(A210="",B210="",C210="",C210&lt;=0),"CHECK: Date, Type and positive Amount required",IF(OR(AND(B210="Income",D210="",E210&lt;&gt;"",F210&lt;&gt;"",COUNTIFS(Accounts!$A$5:$A$50,E210,Accounts!$D$5:$D$50,"Asset")=1,COUNTIFS(Categories!$A$5:$A$100,F210,Categories!$C$5:$C$100,"Income")=1),AND(B210="Expense",D210&lt;&gt;"",E210="",F210&lt;&gt;"",COUNTIF(Accounts!$A$5:$A$50,D210)=1,COUNTIFS(Categories!$A$5:$A$100,F210,Categories!$C$5:$C$100,"Expense")=1),AND(B210="Refund",D210="",E210&lt;&gt;"",F210&lt;&gt;"",COUNTIF(Accounts!$A$5:$A$50,E210)=1,COUNTIFS(Categories!$A$5:$A$100,F210,Categories!$C$5:$C$100,"Expense")=1),AND(B210="Transfer",D210&lt;&gt;"",E210&lt;&gt;"",D210&lt;&gt;E210,F210="",COUNTIF(Accounts!$A$5:$A$50,D210)=1,COUNTIF(Accounts!$A$5:$A$50,E210)=1),AND(B210="Allocation",F210="Savings &amp; Investment",OR(AND(D210&lt;&gt;"",E210="",COUNTIFS(Accounts!$A$5:$A$50,D210,Accounts!$D$5:$D$50,"Asset")=1),AND(D210="",E210&lt;&gt;"",COUNTIFS(Accounts!$A$5:$A$50,E210,Accounts!$D$5:$D$50,"Asset")=1))),AND(B210="Adjustment",F210="",OR(AND(D210&lt;&gt;"",E210="",COUNTIF(Accounts!$A$5:$A$50,D210)=1),AND(D210="",E210&lt;&gt;"",COUNTIF(Accounts!$A$5:$A$50,E210)=1)))),"OK","CHECK: Type / account / category combination")))</f>
        <v/>
      </c>
    </row>
    <row r="211" spans="1:9">
      <c r="A211" s="56"/>
      <c r="C211" s="57"/>
      <c r="I211" s="13" t="str">
        <f>IF(COUNTA(A211:H211)=0,"",IF(OR(A211="",B211="",C211="",C211&lt;=0),"CHECK: Date, Type and positive Amount required",IF(OR(AND(B211="Income",D211="",E211&lt;&gt;"",F211&lt;&gt;"",COUNTIFS(Accounts!$A$5:$A$50,E211,Accounts!$D$5:$D$50,"Asset")=1,COUNTIFS(Categories!$A$5:$A$100,F211,Categories!$C$5:$C$100,"Income")=1),AND(B211="Expense",D211&lt;&gt;"",E211="",F211&lt;&gt;"",COUNTIF(Accounts!$A$5:$A$50,D211)=1,COUNTIFS(Categories!$A$5:$A$100,F211,Categories!$C$5:$C$100,"Expense")=1),AND(B211="Refund",D211="",E211&lt;&gt;"",F211&lt;&gt;"",COUNTIF(Accounts!$A$5:$A$50,E211)=1,COUNTIFS(Categories!$A$5:$A$100,F211,Categories!$C$5:$C$100,"Expense")=1),AND(B211="Transfer",D211&lt;&gt;"",E211&lt;&gt;"",D211&lt;&gt;E211,F211="",COUNTIF(Accounts!$A$5:$A$50,D211)=1,COUNTIF(Accounts!$A$5:$A$50,E211)=1),AND(B211="Allocation",F211="Savings &amp; Investment",OR(AND(D211&lt;&gt;"",E211="",COUNTIFS(Accounts!$A$5:$A$50,D211,Accounts!$D$5:$D$50,"Asset")=1),AND(D211="",E211&lt;&gt;"",COUNTIFS(Accounts!$A$5:$A$50,E211,Accounts!$D$5:$D$50,"Asset")=1))),AND(B211="Adjustment",F211="",OR(AND(D211&lt;&gt;"",E211="",COUNTIF(Accounts!$A$5:$A$50,D211)=1),AND(D211="",E211&lt;&gt;"",COUNTIF(Accounts!$A$5:$A$50,E211)=1)))),"OK","CHECK: Type / account / category combination")))</f>
        <v/>
      </c>
    </row>
    <row r="212" spans="1:9">
      <c r="A212" s="56"/>
      <c r="C212" s="57"/>
      <c r="I212" s="13" t="str">
        <f>IF(COUNTA(A212:H212)=0,"",IF(OR(A212="",B212="",C212="",C212&lt;=0),"CHECK: Date, Type and positive Amount required",IF(OR(AND(B212="Income",D212="",E212&lt;&gt;"",F212&lt;&gt;"",COUNTIFS(Accounts!$A$5:$A$50,E212,Accounts!$D$5:$D$50,"Asset")=1,COUNTIFS(Categories!$A$5:$A$100,F212,Categories!$C$5:$C$100,"Income")=1),AND(B212="Expense",D212&lt;&gt;"",E212="",F212&lt;&gt;"",COUNTIF(Accounts!$A$5:$A$50,D212)=1,COUNTIFS(Categories!$A$5:$A$100,F212,Categories!$C$5:$C$100,"Expense")=1),AND(B212="Refund",D212="",E212&lt;&gt;"",F212&lt;&gt;"",COUNTIF(Accounts!$A$5:$A$50,E212)=1,COUNTIFS(Categories!$A$5:$A$100,F212,Categories!$C$5:$C$100,"Expense")=1),AND(B212="Transfer",D212&lt;&gt;"",E212&lt;&gt;"",D212&lt;&gt;E212,F212="",COUNTIF(Accounts!$A$5:$A$50,D212)=1,COUNTIF(Accounts!$A$5:$A$50,E212)=1),AND(B212="Allocation",F212="Savings &amp; Investment",OR(AND(D212&lt;&gt;"",E212="",COUNTIFS(Accounts!$A$5:$A$50,D212,Accounts!$D$5:$D$50,"Asset")=1),AND(D212="",E212&lt;&gt;"",COUNTIFS(Accounts!$A$5:$A$50,E212,Accounts!$D$5:$D$50,"Asset")=1))),AND(B212="Adjustment",F212="",OR(AND(D212&lt;&gt;"",E212="",COUNTIF(Accounts!$A$5:$A$50,D212)=1),AND(D212="",E212&lt;&gt;"",COUNTIF(Accounts!$A$5:$A$50,E212)=1)))),"OK","CHECK: Type / account / category combination")))</f>
        <v/>
      </c>
    </row>
    <row r="213" spans="1:9">
      <c r="A213" s="56"/>
      <c r="C213" s="57"/>
      <c r="I213" s="13" t="str">
        <f>IF(COUNTA(A213:H213)=0,"",IF(OR(A213="",B213="",C213="",C213&lt;=0),"CHECK: Date, Type and positive Amount required",IF(OR(AND(B213="Income",D213="",E213&lt;&gt;"",F213&lt;&gt;"",COUNTIFS(Accounts!$A$5:$A$50,E213,Accounts!$D$5:$D$50,"Asset")=1,COUNTIFS(Categories!$A$5:$A$100,F213,Categories!$C$5:$C$100,"Income")=1),AND(B213="Expense",D213&lt;&gt;"",E213="",F213&lt;&gt;"",COUNTIF(Accounts!$A$5:$A$50,D213)=1,COUNTIFS(Categories!$A$5:$A$100,F213,Categories!$C$5:$C$100,"Expense")=1),AND(B213="Refund",D213="",E213&lt;&gt;"",F213&lt;&gt;"",COUNTIF(Accounts!$A$5:$A$50,E213)=1,COUNTIFS(Categories!$A$5:$A$100,F213,Categories!$C$5:$C$100,"Expense")=1),AND(B213="Transfer",D213&lt;&gt;"",E213&lt;&gt;"",D213&lt;&gt;E213,F213="",COUNTIF(Accounts!$A$5:$A$50,D213)=1,COUNTIF(Accounts!$A$5:$A$50,E213)=1),AND(B213="Allocation",F213="Savings &amp; Investment",OR(AND(D213&lt;&gt;"",E213="",COUNTIFS(Accounts!$A$5:$A$50,D213,Accounts!$D$5:$D$50,"Asset")=1),AND(D213="",E213&lt;&gt;"",COUNTIFS(Accounts!$A$5:$A$50,E213,Accounts!$D$5:$D$50,"Asset")=1))),AND(B213="Adjustment",F213="",OR(AND(D213&lt;&gt;"",E213="",COUNTIF(Accounts!$A$5:$A$50,D213)=1),AND(D213="",E213&lt;&gt;"",COUNTIF(Accounts!$A$5:$A$50,E213)=1)))),"OK","CHECK: Type / account / category combination")))</f>
        <v/>
      </c>
    </row>
    <row r="214" spans="1:9">
      <c r="A214" s="56"/>
      <c r="C214" s="57"/>
      <c r="I214" s="13" t="str">
        <f>IF(COUNTA(A214:H214)=0,"",IF(OR(A214="",B214="",C214="",C214&lt;=0),"CHECK: Date, Type and positive Amount required",IF(OR(AND(B214="Income",D214="",E214&lt;&gt;"",F214&lt;&gt;"",COUNTIFS(Accounts!$A$5:$A$50,E214,Accounts!$D$5:$D$50,"Asset")=1,COUNTIFS(Categories!$A$5:$A$100,F214,Categories!$C$5:$C$100,"Income")=1),AND(B214="Expense",D214&lt;&gt;"",E214="",F214&lt;&gt;"",COUNTIF(Accounts!$A$5:$A$50,D214)=1,COUNTIFS(Categories!$A$5:$A$100,F214,Categories!$C$5:$C$100,"Expense")=1),AND(B214="Refund",D214="",E214&lt;&gt;"",F214&lt;&gt;"",COUNTIF(Accounts!$A$5:$A$50,E214)=1,COUNTIFS(Categories!$A$5:$A$100,F214,Categories!$C$5:$C$100,"Expense")=1),AND(B214="Transfer",D214&lt;&gt;"",E214&lt;&gt;"",D214&lt;&gt;E214,F214="",COUNTIF(Accounts!$A$5:$A$50,D214)=1,COUNTIF(Accounts!$A$5:$A$50,E214)=1),AND(B214="Allocation",F214="Savings &amp; Investment",OR(AND(D214&lt;&gt;"",E214="",COUNTIFS(Accounts!$A$5:$A$50,D214,Accounts!$D$5:$D$50,"Asset")=1),AND(D214="",E214&lt;&gt;"",COUNTIFS(Accounts!$A$5:$A$50,E214,Accounts!$D$5:$D$50,"Asset")=1))),AND(B214="Adjustment",F214="",OR(AND(D214&lt;&gt;"",E214="",COUNTIF(Accounts!$A$5:$A$50,D214)=1),AND(D214="",E214&lt;&gt;"",COUNTIF(Accounts!$A$5:$A$50,E214)=1)))),"OK","CHECK: Type / account / category combination")))</f>
        <v/>
      </c>
    </row>
    <row r="215" spans="1:9">
      <c r="A215" s="56"/>
      <c r="C215" s="57"/>
      <c r="I215" s="13" t="str">
        <f>IF(COUNTA(A215:H215)=0,"",IF(OR(A215="",B215="",C215="",C215&lt;=0),"CHECK: Date, Type and positive Amount required",IF(OR(AND(B215="Income",D215="",E215&lt;&gt;"",F215&lt;&gt;"",COUNTIFS(Accounts!$A$5:$A$50,E215,Accounts!$D$5:$D$50,"Asset")=1,COUNTIFS(Categories!$A$5:$A$100,F215,Categories!$C$5:$C$100,"Income")=1),AND(B215="Expense",D215&lt;&gt;"",E215="",F215&lt;&gt;"",COUNTIF(Accounts!$A$5:$A$50,D215)=1,COUNTIFS(Categories!$A$5:$A$100,F215,Categories!$C$5:$C$100,"Expense")=1),AND(B215="Refund",D215="",E215&lt;&gt;"",F215&lt;&gt;"",COUNTIF(Accounts!$A$5:$A$50,E215)=1,COUNTIFS(Categories!$A$5:$A$100,F215,Categories!$C$5:$C$100,"Expense")=1),AND(B215="Transfer",D215&lt;&gt;"",E215&lt;&gt;"",D215&lt;&gt;E215,F215="",COUNTIF(Accounts!$A$5:$A$50,D215)=1,COUNTIF(Accounts!$A$5:$A$50,E215)=1),AND(B215="Allocation",F215="Savings &amp; Investment",OR(AND(D215&lt;&gt;"",E215="",COUNTIFS(Accounts!$A$5:$A$50,D215,Accounts!$D$5:$D$50,"Asset")=1),AND(D215="",E215&lt;&gt;"",COUNTIFS(Accounts!$A$5:$A$50,E215,Accounts!$D$5:$D$50,"Asset")=1))),AND(B215="Adjustment",F215="",OR(AND(D215&lt;&gt;"",E215="",COUNTIF(Accounts!$A$5:$A$50,D215)=1),AND(D215="",E215&lt;&gt;"",COUNTIF(Accounts!$A$5:$A$50,E215)=1)))),"OK","CHECK: Type / account / category combination")))</f>
        <v/>
      </c>
    </row>
    <row r="216" spans="1:9">
      <c r="A216" s="56"/>
      <c r="C216" s="57"/>
      <c r="I216" s="13" t="str">
        <f>IF(COUNTA(A216:H216)=0,"",IF(OR(A216="",B216="",C216="",C216&lt;=0),"CHECK: Date, Type and positive Amount required",IF(OR(AND(B216="Income",D216="",E216&lt;&gt;"",F216&lt;&gt;"",COUNTIFS(Accounts!$A$5:$A$50,E216,Accounts!$D$5:$D$50,"Asset")=1,COUNTIFS(Categories!$A$5:$A$100,F216,Categories!$C$5:$C$100,"Income")=1),AND(B216="Expense",D216&lt;&gt;"",E216="",F216&lt;&gt;"",COUNTIF(Accounts!$A$5:$A$50,D216)=1,COUNTIFS(Categories!$A$5:$A$100,F216,Categories!$C$5:$C$100,"Expense")=1),AND(B216="Refund",D216="",E216&lt;&gt;"",F216&lt;&gt;"",COUNTIF(Accounts!$A$5:$A$50,E216)=1,COUNTIFS(Categories!$A$5:$A$100,F216,Categories!$C$5:$C$100,"Expense")=1),AND(B216="Transfer",D216&lt;&gt;"",E216&lt;&gt;"",D216&lt;&gt;E216,F216="",COUNTIF(Accounts!$A$5:$A$50,D216)=1,COUNTIF(Accounts!$A$5:$A$50,E216)=1),AND(B216="Allocation",F216="Savings &amp; Investment",OR(AND(D216&lt;&gt;"",E216="",COUNTIFS(Accounts!$A$5:$A$50,D216,Accounts!$D$5:$D$50,"Asset")=1),AND(D216="",E216&lt;&gt;"",COUNTIFS(Accounts!$A$5:$A$50,E216,Accounts!$D$5:$D$50,"Asset")=1))),AND(B216="Adjustment",F216="",OR(AND(D216&lt;&gt;"",E216="",COUNTIF(Accounts!$A$5:$A$50,D216)=1),AND(D216="",E216&lt;&gt;"",COUNTIF(Accounts!$A$5:$A$50,E216)=1)))),"OK","CHECK: Type / account / category combination")))</f>
        <v/>
      </c>
    </row>
    <row r="217" spans="1:9">
      <c r="A217" s="56"/>
      <c r="C217" s="57"/>
      <c r="I217" s="13" t="str">
        <f>IF(COUNTA(A217:H217)=0,"",IF(OR(A217="",B217="",C217="",C217&lt;=0),"CHECK: Date, Type and positive Amount required",IF(OR(AND(B217="Income",D217="",E217&lt;&gt;"",F217&lt;&gt;"",COUNTIFS(Accounts!$A$5:$A$50,E217,Accounts!$D$5:$D$50,"Asset")=1,COUNTIFS(Categories!$A$5:$A$100,F217,Categories!$C$5:$C$100,"Income")=1),AND(B217="Expense",D217&lt;&gt;"",E217="",F217&lt;&gt;"",COUNTIF(Accounts!$A$5:$A$50,D217)=1,COUNTIFS(Categories!$A$5:$A$100,F217,Categories!$C$5:$C$100,"Expense")=1),AND(B217="Refund",D217="",E217&lt;&gt;"",F217&lt;&gt;"",COUNTIF(Accounts!$A$5:$A$50,E217)=1,COUNTIFS(Categories!$A$5:$A$100,F217,Categories!$C$5:$C$100,"Expense")=1),AND(B217="Transfer",D217&lt;&gt;"",E217&lt;&gt;"",D217&lt;&gt;E217,F217="",COUNTIF(Accounts!$A$5:$A$50,D217)=1,COUNTIF(Accounts!$A$5:$A$50,E217)=1),AND(B217="Allocation",F217="Savings &amp; Investment",OR(AND(D217&lt;&gt;"",E217="",COUNTIFS(Accounts!$A$5:$A$50,D217,Accounts!$D$5:$D$50,"Asset")=1),AND(D217="",E217&lt;&gt;"",COUNTIFS(Accounts!$A$5:$A$50,E217,Accounts!$D$5:$D$50,"Asset")=1))),AND(B217="Adjustment",F217="",OR(AND(D217&lt;&gt;"",E217="",COUNTIF(Accounts!$A$5:$A$50,D217)=1),AND(D217="",E217&lt;&gt;"",COUNTIF(Accounts!$A$5:$A$50,E217)=1)))),"OK","CHECK: Type / account / category combination")))</f>
        <v/>
      </c>
    </row>
    <row r="218" spans="1:9">
      <c r="A218" s="56"/>
      <c r="C218" s="57"/>
      <c r="I218" s="13" t="str">
        <f>IF(COUNTA(A218:H218)=0,"",IF(OR(A218="",B218="",C218="",C218&lt;=0),"CHECK: Date, Type and positive Amount required",IF(OR(AND(B218="Income",D218="",E218&lt;&gt;"",F218&lt;&gt;"",COUNTIFS(Accounts!$A$5:$A$50,E218,Accounts!$D$5:$D$50,"Asset")=1,COUNTIFS(Categories!$A$5:$A$100,F218,Categories!$C$5:$C$100,"Income")=1),AND(B218="Expense",D218&lt;&gt;"",E218="",F218&lt;&gt;"",COUNTIF(Accounts!$A$5:$A$50,D218)=1,COUNTIFS(Categories!$A$5:$A$100,F218,Categories!$C$5:$C$100,"Expense")=1),AND(B218="Refund",D218="",E218&lt;&gt;"",F218&lt;&gt;"",COUNTIF(Accounts!$A$5:$A$50,E218)=1,COUNTIFS(Categories!$A$5:$A$100,F218,Categories!$C$5:$C$100,"Expense")=1),AND(B218="Transfer",D218&lt;&gt;"",E218&lt;&gt;"",D218&lt;&gt;E218,F218="",COUNTIF(Accounts!$A$5:$A$50,D218)=1,COUNTIF(Accounts!$A$5:$A$50,E218)=1),AND(B218="Allocation",F218="Savings &amp; Investment",OR(AND(D218&lt;&gt;"",E218="",COUNTIFS(Accounts!$A$5:$A$50,D218,Accounts!$D$5:$D$50,"Asset")=1),AND(D218="",E218&lt;&gt;"",COUNTIFS(Accounts!$A$5:$A$50,E218,Accounts!$D$5:$D$50,"Asset")=1))),AND(B218="Adjustment",F218="",OR(AND(D218&lt;&gt;"",E218="",COUNTIF(Accounts!$A$5:$A$50,D218)=1),AND(D218="",E218&lt;&gt;"",COUNTIF(Accounts!$A$5:$A$50,E218)=1)))),"OK","CHECK: Type / account / category combination")))</f>
        <v/>
      </c>
    </row>
    <row r="219" spans="1:9">
      <c r="A219" s="56"/>
      <c r="C219" s="57"/>
      <c r="I219" s="13" t="str">
        <f>IF(COUNTA(A219:H219)=0,"",IF(OR(A219="",B219="",C219="",C219&lt;=0),"CHECK: Date, Type and positive Amount required",IF(OR(AND(B219="Income",D219="",E219&lt;&gt;"",F219&lt;&gt;"",COUNTIFS(Accounts!$A$5:$A$50,E219,Accounts!$D$5:$D$50,"Asset")=1,COUNTIFS(Categories!$A$5:$A$100,F219,Categories!$C$5:$C$100,"Income")=1),AND(B219="Expense",D219&lt;&gt;"",E219="",F219&lt;&gt;"",COUNTIF(Accounts!$A$5:$A$50,D219)=1,COUNTIFS(Categories!$A$5:$A$100,F219,Categories!$C$5:$C$100,"Expense")=1),AND(B219="Refund",D219="",E219&lt;&gt;"",F219&lt;&gt;"",COUNTIF(Accounts!$A$5:$A$50,E219)=1,COUNTIFS(Categories!$A$5:$A$100,F219,Categories!$C$5:$C$100,"Expense")=1),AND(B219="Transfer",D219&lt;&gt;"",E219&lt;&gt;"",D219&lt;&gt;E219,F219="",COUNTIF(Accounts!$A$5:$A$50,D219)=1,COUNTIF(Accounts!$A$5:$A$50,E219)=1),AND(B219="Allocation",F219="Savings &amp; Investment",OR(AND(D219&lt;&gt;"",E219="",COUNTIFS(Accounts!$A$5:$A$50,D219,Accounts!$D$5:$D$50,"Asset")=1),AND(D219="",E219&lt;&gt;"",COUNTIFS(Accounts!$A$5:$A$50,E219,Accounts!$D$5:$D$50,"Asset")=1))),AND(B219="Adjustment",F219="",OR(AND(D219&lt;&gt;"",E219="",COUNTIF(Accounts!$A$5:$A$50,D219)=1),AND(D219="",E219&lt;&gt;"",COUNTIF(Accounts!$A$5:$A$50,E219)=1)))),"OK","CHECK: Type / account / category combination")))</f>
        <v/>
      </c>
    </row>
    <row r="220" spans="1:9">
      <c r="A220" s="56"/>
      <c r="C220" s="57"/>
      <c r="I220" s="13" t="str">
        <f>IF(COUNTA(A220:H220)=0,"",IF(OR(A220="",B220="",C220="",C220&lt;=0),"CHECK: Date, Type and positive Amount required",IF(OR(AND(B220="Income",D220="",E220&lt;&gt;"",F220&lt;&gt;"",COUNTIFS(Accounts!$A$5:$A$50,E220,Accounts!$D$5:$D$50,"Asset")=1,COUNTIFS(Categories!$A$5:$A$100,F220,Categories!$C$5:$C$100,"Income")=1),AND(B220="Expense",D220&lt;&gt;"",E220="",F220&lt;&gt;"",COUNTIF(Accounts!$A$5:$A$50,D220)=1,COUNTIFS(Categories!$A$5:$A$100,F220,Categories!$C$5:$C$100,"Expense")=1),AND(B220="Refund",D220="",E220&lt;&gt;"",F220&lt;&gt;"",COUNTIF(Accounts!$A$5:$A$50,E220)=1,COUNTIFS(Categories!$A$5:$A$100,F220,Categories!$C$5:$C$100,"Expense")=1),AND(B220="Transfer",D220&lt;&gt;"",E220&lt;&gt;"",D220&lt;&gt;E220,F220="",COUNTIF(Accounts!$A$5:$A$50,D220)=1,COUNTIF(Accounts!$A$5:$A$50,E220)=1),AND(B220="Allocation",F220="Savings &amp; Investment",OR(AND(D220&lt;&gt;"",E220="",COUNTIFS(Accounts!$A$5:$A$50,D220,Accounts!$D$5:$D$50,"Asset")=1),AND(D220="",E220&lt;&gt;"",COUNTIFS(Accounts!$A$5:$A$50,E220,Accounts!$D$5:$D$50,"Asset")=1))),AND(B220="Adjustment",F220="",OR(AND(D220&lt;&gt;"",E220="",COUNTIF(Accounts!$A$5:$A$50,D220)=1),AND(D220="",E220&lt;&gt;"",COUNTIF(Accounts!$A$5:$A$50,E220)=1)))),"OK","CHECK: Type / account / category combination")))</f>
        <v/>
      </c>
    </row>
    <row r="221" spans="1:9">
      <c r="A221" s="56"/>
      <c r="C221" s="57"/>
      <c r="I221" s="13" t="str">
        <f>IF(COUNTA(A221:H221)=0,"",IF(OR(A221="",B221="",C221="",C221&lt;=0),"CHECK: Date, Type and positive Amount required",IF(OR(AND(B221="Income",D221="",E221&lt;&gt;"",F221&lt;&gt;"",COUNTIFS(Accounts!$A$5:$A$50,E221,Accounts!$D$5:$D$50,"Asset")=1,COUNTIFS(Categories!$A$5:$A$100,F221,Categories!$C$5:$C$100,"Income")=1),AND(B221="Expense",D221&lt;&gt;"",E221="",F221&lt;&gt;"",COUNTIF(Accounts!$A$5:$A$50,D221)=1,COUNTIFS(Categories!$A$5:$A$100,F221,Categories!$C$5:$C$100,"Expense")=1),AND(B221="Refund",D221="",E221&lt;&gt;"",F221&lt;&gt;"",COUNTIF(Accounts!$A$5:$A$50,E221)=1,COUNTIFS(Categories!$A$5:$A$100,F221,Categories!$C$5:$C$100,"Expense")=1),AND(B221="Transfer",D221&lt;&gt;"",E221&lt;&gt;"",D221&lt;&gt;E221,F221="",COUNTIF(Accounts!$A$5:$A$50,D221)=1,COUNTIF(Accounts!$A$5:$A$50,E221)=1),AND(B221="Allocation",F221="Savings &amp; Investment",OR(AND(D221&lt;&gt;"",E221="",COUNTIFS(Accounts!$A$5:$A$50,D221,Accounts!$D$5:$D$50,"Asset")=1),AND(D221="",E221&lt;&gt;"",COUNTIFS(Accounts!$A$5:$A$50,E221,Accounts!$D$5:$D$50,"Asset")=1))),AND(B221="Adjustment",F221="",OR(AND(D221&lt;&gt;"",E221="",COUNTIF(Accounts!$A$5:$A$50,D221)=1),AND(D221="",E221&lt;&gt;"",COUNTIF(Accounts!$A$5:$A$50,E221)=1)))),"OK","CHECK: Type / account / category combination")))</f>
        <v/>
      </c>
    </row>
    <row r="222" spans="1:9">
      <c r="A222" s="56"/>
      <c r="C222" s="57"/>
      <c r="I222" s="13" t="str">
        <f>IF(COUNTA(A222:H222)=0,"",IF(OR(A222="",B222="",C222="",C222&lt;=0),"CHECK: Date, Type and positive Amount required",IF(OR(AND(B222="Income",D222="",E222&lt;&gt;"",F222&lt;&gt;"",COUNTIFS(Accounts!$A$5:$A$50,E222,Accounts!$D$5:$D$50,"Asset")=1,COUNTIFS(Categories!$A$5:$A$100,F222,Categories!$C$5:$C$100,"Income")=1),AND(B222="Expense",D222&lt;&gt;"",E222="",F222&lt;&gt;"",COUNTIF(Accounts!$A$5:$A$50,D222)=1,COUNTIFS(Categories!$A$5:$A$100,F222,Categories!$C$5:$C$100,"Expense")=1),AND(B222="Refund",D222="",E222&lt;&gt;"",F222&lt;&gt;"",COUNTIF(Accounts!$A$5:$A$50,E222)=1,COUNTIFS(Categories!$A$5:$A$100,F222,Categories!$C$5:$C$100,"Expense")=1),AND(B222="Transfer",D222&lt;&gt;"",E222&lt;&gt;"",D222&lt;&gt;E222,F222="",COUNTIF(Accounts!$A$5:$A$50,D222)=1,COUNTIF(Accounts!$A$5:$A$50,E222)=1),AND(B222="Allocation",F222="Savings &amp; Investment",OR(AND(D222&lt;&gt;"",E222="",COUNTIFS(Accounts!$A$5:$A$50,D222,Accounts!$D$5:$D$50,"Asset")=1),AND(D222="",E222&lt;&gt;"",COUNTIFS(Accounts!$A$5:$A$50,E222,Accounts!$D$5:$D$50,"Asset")=1))),AND(B222="Adjustment",F222="",OR(AND(D222&lt;&gt;"",E222="",COUNTIF(Accounts!$A$5:$A$50,D222)=1),AND(D222="",E222&lt;&gt;"",COUNTIF(Accounts!$A$5:$A$50,E222)=1)))),"OK","CHECK: Type / account / category combination")))</f>
        <v/>
      </c>
    </row>
    <row r="223" spans="1:9">
      <c r="A223" s="56"/>
      <c r="C223" s="57"/>
      <c r="I223" s="13" t="str">
        <f>IF(COUNTA(A223:H223)=0,"",IF(OR(A223="",B223="",C223="",C223&lt;=0),"CHECK: Date, Type and positive Amount required",IF(OR(AND(B223="Income",D223="",E223&lt;&gt;"",F223&lt;&gt;"",COUNTIFS(Accounts!$A$5:$A$50,E223,Accounts!$D$5:$D$50,"Asset")=1,COUNTIFS(Categories!$A$5:$A$100,F223,Categories!$C$5:$C$100,"Income")=1),AND(B223="Expense",D223&lt;&gt;"",E223="",F223&lt;&gt;"",COUNTIF(Accounts!$A$5:$A$50,D223)=1,COUNTIFS(Categories!$A$5:$A$100,F223,Categories!$C$5:$C$100,"Expense")=1),AND(B223="Refund",D223="",E223&lt;&gt;"",F223&lt;&gt;"",COUNTIF(Accounts!$A$5:$A$50,E223)=1,COUNTIFS(Categories!$A$5:$A$100,F223,Categories!$C$5:$C$100,"Expense")=1),AND(B223="Transfer",D223&lt;&gt;"",E223&lt;&gt;"",D223&lt;&gt;E223,F223="",COUNTIF(Accounts!$A$5:$A$50,D223)=1,COUNTIF(Accounts!$A$5:$A$50,E223)=1),AND(B223="Allocation",F223="Savings &amp; Investment",OR(AND(D223&lt;&gt;"",E223="",COUNTIFS(Accounts!$A$5:$A$50,D223,Accounts!$D$5:$D$50,"Asset")=1),AND(D223="",E223&lt;&gt;"",COUNTIFS(Accounts!$A$5:$A$50,E223,Accounts!$D$5:$D$50,"Asset")=1))),AND(B223="Adjustment",F223="",OR(AND(D223&lt;&gt;"",E223="",COUNTIF(Accounts!$A$5:$A$50,D223)=1),AND(D223="",E223&lt;&gt;"",COUNTIF(Accounts!$A$5:$A$50,E223)=1)))),"OK","CHECK: Type / account / category combination")))</f>
        <v/>
      </c>
    </row>
    <row r="224" spans="1:9">
      <c r="A224" s="56"/>
      <c r="C224" s="57"/>
      <c r="I224" s="13" t="str">
        <f>IF(COUNTA(A224:H224)=0,"",IF(OR(A224="",B224="",C224="",C224&lt;=0),"CHECK: Date, Type and positive Amount required",IF(OR(AND(B224="Income",D224="",E224&lt;&gt;"",F224&lt;&gt;"",COUNTIFS(Accounts!$A$5:$A$50,E224,Accounts!$D$5:$D$50,"Asset")=1,COUNTIFS(Categories!$A$5:$A$100,F224,Categories!$C$5:$C$100,"Income")=1),AND(B224="Expense",D224&lt;&gt;"",E224="",F224&lt;&gt;"",COUNTIF(Accounts!$A$5:$A$50,D224)=1,COUNTIFS(Categories!$A$5:$A$100,F224,Categories!$C$5:$C$100,"Expense")=1),AND(B224="Refund",D224="",E224&lt;&gt;"",F224&lt;&gt;"",COUNTIF(Accounts!$A$5:$A$50,E224)=1,COUNTIFS(Categories!$A$5:$A$100,F224,Categories!$C$5:$C$100,"Expense")=1),AND(B224="Transfer",D224&lt;&gt;"",E224&lt;&gt;"",D224&lt;&gt;E224,F224="",COUNTIF(Accounts!$A$5:$A$50,D224)=1,COUNTIF(Accounts!$A$5:$A$50,E224)=1),AND(B224="Allocation",F224="Savings &amp; Investment",OR(AND(D224&lt;&gt;"",E224="",COUNTIFS(Accounts!$A$5:$A$50,D224,Accounts!$D$5:$D$50,"Asset")=1),AND(D224="",E224&lt;&gt;"",COUNTIFS(Accounts!$A$5:$A$50,E224,Accounts!$D$5:$D$50,"Asset")=1))),AND(B224="Adjustment",F224="",OR(AND(D224&lt;&gt;"",E224="",COUNTIF(Accounts!$A$5:$A$50,D224)=1),AND(D224="",E224&lt;&gt;"",COUNTIF(Accounts!$A$5:$A$50,E224)=1)))),"OK","CHECK: Type / account / category combination")))</f>
        <v/>
      </c>
    </row>
    <row r="225" spans="1:9">
      <c r="A225" s="56"/>
      <c r="C225" s="57"/>
      <c r="I225" s="13" t="str">
        <f>IF(COUNTA(A225:H225)=0,"",IF(OR(A225="",B225="",C225="",C225&lt;=0),"CHECK: Date, Type and positive Amount required",IF(OR(AND(B225="Income",D225="",E225&lt;&gt;"",F225&lt;&gt;"",COUNTIFS(Accounts!$A$5:$A$50,E225,Accounts!$D$5:$D$50,"Asset")=1,COUNTIFS(Categories!$A$5:$A$100,F225,Categories!$C$5:$C$100,"Income")=1),AND(B225="Expense",D225&lt;&gt;"",E225="",F225&lt;&gt;"",COUNTIF(Accounts!$A$5:$A$50,D225)=1,COUNTIFS(Categories!$A$5:$A$100,F225,Categories!$C$5:$C$100,"Expense")=1),AND(B225="Refund",D225="",E225&lt;&gt;"",F225&lt;&gt;"",COUNTIF(Accounts!$A$5:$A$50,E225)=1,COUNTIFS(Categories!$A$5:$A$100,F225,Categories!$C$5:$C$100,"Expense")=1),AND(B225="Transfer",D225&lt;&gt;"",E225&lt;&gt;"",D225&lt;&gt;E225,F225="",COUNTIF(Accounts!$A$5:$A$50,D225)=1,COUNTIF(Accounts!$A$5:$A$50,E225)=1),AND(B225="Allocation",F225="Savings &amp; Investment",OR(AND(D225&lt;&gt;"",E225="",COUNTIFS(Accounts!$A$5:$A$50,D225,Accounts!$D$5:$D$50,"Asset")=1),AND(D225="",E225&lt;&gt;"",COUNTIFS(Accounts!$A$5:$A$50,E225,Accounts!$D$5:$D$50,"Asset")=1))),AND(B225="Adjustment",F225="",OR(AND(D225&lt;&gt;"",E225="",COUNTIF(Accounts!$A$5:$A$50,D225)=1),AND(D225="",E225&lt;&gt;"",COUNTIF(Accounts!$A$5:$A$50,E225)=1)))),"OK","CHECK: Type / account / category combination")))</f>
        <v/>
      </c>
    </row>
    <row r="226" spans="1:9">
      <c r="A226" s="56"/>
      <c r="C226" s="57"/>
      <c r="I226" s="13" t="str">
        <f>IF(COUNTA(A226:H226)=0,"",IF(OR(A226="",B226="",C226="",C226&lt;=0),"CHECK: Date, Type and positive Amount required",IF(OR(AND(B226="Income",D226="",E226&lt;&gt;"",F226&lt;&gt;"",COUNTIFS(Accounts!$A$5:$A$50,E226,Accounts!$D$5:$D$50,"Asset")=1,COUNTIFS(Categories!$A$5:$A$100,F226,Categories!$C$5:$C$100,"Income")=1),AND(B226="Expense",D226&lt;&gt;"",E226="",F226&lt;&gt;"",COUNTIF(Accounts!$A$5:$A$50,D226)=1,COUNTIFS(Categories!$A$5:$A$100,F226,Categories!$C$5:$C$100,"Expense")=1),AND(B226="Refund",D226="",E226&lt;&gt;"",F226&lt;&gt;"",COUNTIF(Accounts!$A$5:$A$50,E226)=1,COUNTIFS(Categories!$A$5:$A$100,F226,Categories!$C$5:$C$100,"Expense")=1),AND(B226="Transfer",D226&lt;&gt;"",E226&lt;&gt;"",D226&lt;&gt;E226,F226="",COUNTIF(Accounts!$A$5:$A$50,D226)=1,COUNTIF(Accounts!$A$5:$A$50,E226)=1),AND(B226="Allocation",F226="Savings &amp; Investment",OR(AND(D226&lt;&gt;"",E226="",COUNTIFS(Accounts!$A$5:$A$50,D226,Accounts!$D$5:$D$50,"Asset")=1),AND(D226="",E226&lt;&gt;"",COUNTIFS(Accounts!$A$5:$A$50,E226,Accounts!$D$5:$D$50,"Asset")=1))),AND(B226="Adjustment",F226="",OR(AND(D226&lt;&gt;"",E226="",COUNTIF(Accounts!$A$5:$A$50,D226)=1),AND(D226="",E226&lt;&gt;"",COUNTIF(Accounts!$A$5:$A$50,E226)=1)))),"OK","CHECK: Type / account / category combination")))</f>
        <v/>
      </c>
    </row>
    <row r="227" spans="1:9">
      <c r="A227" s="56"/>
      <c r="C227" s="57"/>
      <c r="I227" s="13" t="str">
        <f>IF(COUNTA(A227:H227)=0,"",IF(OR(A227="",B227="",C227="",C227&lt;=0),"CHECK: Date, Type and positive Amount required",IF(OR(AND(B227="Income",D227="",E227&lt;&gt;"",F227&lt;&gt;"",COUNTIFS(Accounts!$A$5:$A$50,E227,Accounts!$D$5:$D$50,"Asset")=1,COUNTIFS(Categories!$A$5:$A$100,F227,Categories!$C$5:$C$100,"Income")=1),AND(B227="Expense",D227&lt;&gt;"",E227="",F227&lt;&gt;"",COUNTIF(Accounts!$A$5:$A$50,D227)=1,COUNTIFS(Categories!$A$5:$A$100,F227,Categories!$C$5:$C$100,"Expense")=1),AND(B227="Refund",D227="",E227&lt;&gt;"",F227&lt;&gt;"",COUNTIF(Accounts!$A$5:$A$50,E227)=1,COUNTIFS(Categories!$A$5:$A$100,F227,Categories!$C$5:$C$100,"Expense")=1),AND(B227="Transfer",D227&lt;&gt;"",E227&lt;&gt;"",D227&lt;&gt;E227,F227="",COUNTIF(Accounts!$A$5:$A$50,D227)=1,COUNTIF(Accounts!$A$5:$A$50,E227)=1),AND(B227="Allocation",F227="Savings &amp; Investment",OR(AND(D227&lt;&gt;"",E227="",COUNTIFS(Accounts!$A$5:$A$50,D227,Accounts!$D$5:$D$50,"Asset")=1),AND(D227="",E227&lt;&gt;"",COUNTIFS(Accounts!$A$5:$A$50,E227,Accounts!$D$5:$D$50,"Asset")=1))),AND(B227="Adjustment",F227="",OR(AND(D227&lt;&gt;"",E227="",COUNTIF(Accounts!$A$5:$A$50,D227)=1),AND(D227="",E227&lt;&gt;"",COUNTIF(Accounts!$A$5:$A$50,E227)=1)))),"OK","CHECK: Type / account / category combination")))</f>
        <v/>
      </c>
    </row>
    <row r="228" spans="1:9">
      <c r="A228" s="56"/>
      <c r="C228" s="57"/>
      <c r="I228" s="13" t="str">
        <f>IF(COUNTA(A228:H228)=0,"",IF(OR(A228="",B228="",C228="",C228&lt;=0),"CHECK: Date, Type and positive Amount required",IF(OR(AND(B228="Income",D228="",E228&lt;&gt;"",F228&lt;&gt;"",COUNTIFS(Accounts!$A$5:$A$50,E228,Accounts!$D$5:$D$50,"Asset")=1,COUNTIFS(Categories!$A$5:$A$100,F228,Categories!$C$5:$C$100,"Income")=1),AND(B228="Expense",D228&lt;&gt;"",E228="",F228&lt;&gt;"",COUNTIF(Accounts!$A$5:$A$50,D228)=1,COUNTIFS(Categories!$A$5:$A$100,F228,Categories!$C$5:$C$100,"Expense")=1),AND(B228="Refund",D228="",E228&lt;&gt;"",F228&lt;&gt;"",COUNTIF(Accounts!$A$5:$A$50,E228)=1,COUNTIFS(Categories!$A$5:$A$100,F228,Categories!$C$5:$C$100,"Expense")=1),AND(B228="Transfer",D228&lt;&gt;"",E228&lt;&gt;"",D228&lt;&gt;E228,F228="",COUNTIF(Accounts!$A$5:$A$50,D228)=1,COUNTIF(Accounts!$A$5:$A$50,E228)=1),AND(B228="Allocation",F228="Savings &amp; Investment",OR(AND(D228&lt;&gt;"",E228="",COUNTIFS(Accounts!$A$5:$A$50,D228,Accounts!$D$5:$D$50,"Asset")=1),AND(D228="",E228&lt;&gt;"",COUNTIFS(Accounts!$A$5:$A$50,E228,Accounts!$D$5:$D$50,"Asset")=1))),AND(B228="Adjustment",F228="",OR(AND(D228&lt;&gt;"",E228="",COUNTIF(Accounts!$A$5:$A$50,D228)=1),AND(D228="",E228&lt;&gt;"",COUNTIF(Accounts!$A$5:$A$50,E228)=1)))),"OK","CHECK: Type / account / category combination")))</f>
        <v/>
      </c>
    </row>
    <row r="229" spans="1:9">
      <c r="A229" s="56"/>
      <c r="C229" s="57"/>
      <c r="I229" s="13" t="str">
        <f>IF(COUNTA(A229:H229)=0,"",IF(OR(A229="",B229="",C229="",C229&lt;=0),"CHECK: Date, Type and positive Amount required",IF(OR(AND(B229="Income",D229="",E229&lt;&gt;"",F229&lt;&gt;"",COUNTIFS(Accounts!$A$5:$A$50,E229,Accounts!$D$5:$D$50,"Asset")=1,COUNTIFS(Categories!$A$5:$A$100,F229,Categories!$C$5:$C$100,"Income")=1),AND(B229="Expense",D229&lt;&gt;"",E229="",F229&lt;&gt;"",COUNTIF(Accounts!$A$5:$A$50,D229)=1,COUNTIFS(Categories!$A$5:$A$100,F229,Categories!$C$5:$C$100,"Expense")=1),AND(B229="Refund",D229="",E229&lt;&gt;"",F229&lt;&gt;"",COUNTIF(Accounts!$A$5:$A$50,E229)=1,COUNTIFS(Categories!$A$5:$A$100,F229,Categories!$C$5:$C$100,"Expense")=1),AND(B229="Transfer",D229&lt;&gt;"",E229&lt;&gt;"",D229&lt;&gt;E229,F229="",COUNTIF(Accounts!$A$5:$A$50,D229)=1,COUNTIF(Accounts!$A$5:$A$50,E229)=1),AND(B229="Allocation",F229="Savings &amp; Investment",OR(AND(D229&lt;&gt;"",E229="",COUNTIFS(Accounts!$A$5:$A$50,D229,Accounts!$D$5:$D$50,"Asset")=1),AND(D229="",E229&lt;&gt;"",COUNTIFS(Accounts!$A$5:$A$50,E229,Accounts!$D$5:$D$50,"Asset")=1))),AND(B229="Adjustment",F229="",OR(AND(D229&lt;&gt;"",E229="",COUNTIF(Accounts!$A$5:$A$50,D229)=1),AND(D229="",E229&lt;&gt;"",COUNTIF(Accounts!$A$5:$A$50,E229)=1)))),"OK","CHECK: Type / account / category combination")))</f>
        <v/>
      </c>
    </row>
    <row r="230" spans="1:9">
      <c r="A230" s="56"/>
      <c r="C230" s="57"/>
      <c r="I230" s="13" t="str">
        <f>IF(COUNTA(A230:H230)=0,"",IF(OR(A230="",B230="",C230="",C230&lt;=0),"CHECK: Date, Type and positive Amount required",IF(OR(AND(B230="Income",D230="",E230&lt;&gt;"",F230&lt;&gt;"",COUNTIFS(Accounts!$A$5:$A$50,E230,Accounts!$D$5:$D$50,"Asset")=1,COUNTIFS(Categories!$A$5:$A$100,F230,Categories!$C$5:$C$100,"Income")=1),AND(B230="Expense",D230&lt;&gt;"",E230="",F230&lt;&gt;"",COUNTIF(Accounts!$A$5:$A$50,D230)=1,COUNTIFS(Categories!$A$5:$A$100,F230,Categories!$C$5:$C$100,"Expense")=1),AND(B230="Refund",D230="",E230&lt;&gt;"",F230&lt;&gt;"",COUNTIF(Accounts!$A$5:$A$50,E230)=1,COUNTIFS(Categories!$A$5:$A$100,F230,Categories!$C$5:$C$100,"Expense")=1),AND(B230="Transfer",D230&lt;&gt;"",E230&lt;&gt;"",D230&lt;&gt;E230,F230="",COUNTIF(Accounts!$A$5:$A$50,D230)=1,COUNTIF(Accounts!$A$5:$A$50,E230)=1),AND(B230="Allocation",F230="Savings &amp; Investment",OR(AND(D230&lt;&gt;"",E230="",COUNTIFS(Accounts!$A$5:$A$50,D230,Accounts!$D$5:$D$50,"Asset")=1),AND(D230="",E230&lt;&gt;"",COUNTIFS(Accounts!$A$5:$A$50,E230,Accounts!$D$5:$D$50,"Asset")=1))),AND(B230="Adjustment",F230="",OR(AND(D230&lt;&gt;"",E230="",COUNTIF(Accounts!$A$5:$A$50,D230)=1),AND(D230="",E230&lt;&gt;"",COUNTIF(Accounts!$A$5:$A$50,E230)=1)))),"OK","CHECK: Type / account / category combination")))</f>
        <v/>
      </c>
    </row>
    <row r="231" spans="1:9">
      <c r="A231" s="56"/>
      <c r="C231" s="57"/>
      <c r="I231" s="13" t="str">
        <f>IF(COUNTA(A231:H231)=0,"",IF(OR(A231="",B231="",C231="",C231&lt;=0),"CHECK: Date, Type and positive Amount required",IF(OR(AND(B231="Income",D231="",E231&lt;&gt;"",F231&lt;&gt;"",COUNTIFS(Accounts!$A$5:$A$50,E231,Accounts!$D$5:$D$50,"Asset")=1,COUNTIFS(Categories!$A$5:$A$100,F231,Categories!$C$5:$C$100,"Income")=1),AND(B231="Expense",D231&lt;&gt;"",E231="",F231&lt;&gt;"",COUNTIF(Accounts!$A$5:$A$50,D231)=1,COUNTIFS(Categories!$A$5:$A$100,F231,Categories!$C$5:$C$100,"Expense")=1),AND(B231="Refund",D231="",E231&lt;&gt;"",F231&lt;&gt;"",COUNTIF(Accounts!$A$5:$A$50,E231)=1,COUNTIFS(Categories!$A$5:$A$100,F231,Categories!$C$5:$C$100,"Expense")=1),AND(B231="Transfer",D231&lt;&gt;"",E231&lt;&gt;"",D231&lt;&gt;E231,F231="",COUNTIF(Accounts!$A$5:$A$50,D231)=1,COUNTIF(Accounts!$A$5:$A$50,E231)=1),AND(B231="Allocation",F231="Savings &amp; Investment",OR(AND(D231&lt;&gt;"",E231="",COUNTIFS(Accounts!$A$5:$A$50,D231,Accounts!$D$5:$D$50,"Asset")=1),AND(D231="",E231&lt;&gt;"",COUNTIFS(Accounts!$A$5:$A$50,E231,Accounts!$D$5:$D$50,"Asset")=1))),AND(B231="Adjustment",F231="",OR(AND(D231&lt;&gt;"",E231="",COUNTIF(Accounts!$A$5:$A$50,D231)=1),AND(D231="",E231&lt;&gt;"",COUNTIF(Accounts!$A$5:$A$50,E231)=1)))),"OK","CHECK: Type / account / category combination")))</f>
        <v/>
      </c>
    </row>
    <row r="232" spans="1:9">
      <c r="A232" s="56"/>
      <c r="C232" s="57"/>
      <c r="I232" s="13" t="str">
        <f>IF(COUNTA(A232:H232)=0,"",IF(OR(A232="",B232="",C232="",C232&lt;=0),"CHECK: Date, Type and positive Amount required",IF(OR(AND(B232="Income",D232="",E232&lt;&gt;"",F232&lt;&gt;"",COUNTIFS(Accounts!$A$5:$A$50,E232,Accounts!$D$5:$D$50,"Asset")=1,COUNTIFS(Categories!$A$5:$A$100,F232,Categories!$C$5:$C$100,"Income")=1),AND(B232="Expense",D232&lt;&gt;"",E232="",F232&lt;&gt;"",COUNTIF(Accounts!$A$5:$A$50,D232)=1,COUNTIFS(Categories!$A$5:$A$100,F232,Categories!$C$5:$C$100,"Expense")=1),AND(B232="Refund",D232="",E232&lt;&gt;"",F232&lt;&gt;"",COUNTIF(Accounts!$A$5:$A$50,E232)=1,COUNTIFS(Categories!$A$5:$A$100,F232,Categories!$C$5:$C$100,"Expense")=1),AND(B232="Transfer",D232&lt;&gt;"",E232&lt;&gt;"",D232&lt;&gt;E232,F232="",COUNTIF(Accounts!$A$5:$A$50,D232)=1,COUNTIF(Accounts!$A$5:$A$50,E232)=1),AND(B232="Allocation",F232="Savings &amp; Investment",OR(AND(D232&lt;&gt;"",E232="",COUNTIFS(Accounts!$A$5:$A$50,D232,Accounts!$D$5:$D$50,"Asset")=1),AND(D232="",E232&lt;&gt;"",COUNTIFS(Accounts!$A$5:$A$50,E232,Accounts!$D$5:$D$50,"Asset")=1))),AND(B232="Adjustment",F232="",OR(AND(D232&lt;&gt;"",E232="",COUNTIF(Accounts!$A$5:$A$50,D232)=1),AND(D232="",E232&lt;&gt;"",COUNTIF(Accounts!$A$5:$A$50,E232)=1)))),"OK","CHECK: Type / account / category combination")))</f>
        <v/>
      </c>
    </row>
    <row r="233" spans="1:9">
      <c r="A233" s="56"/>
      <c r="C233" s="57"/>
      <c r="I233" s="13" t="str">
        <f>IF(COUNTA(A233:H233)=0,"",IF(OR(A233="",B233="",C233="",C233&lt;=0),"CHECK: Date, Type and positive Amount required",IF(OR(AND(B233="Income",D233="",E233&lt;&gt;"",F233&lt;&gt;"",COUNTIFS(Accounts!$A$5:$A$50,E233,Accounts!$D$5:$D$50,"Asset")=1,COUNTIFS(Categories!$A$5:$A$100,F233,Categories!$C$5:$C$100,"Income")=1),AND(B233="Expense",D233&lt;&gt;"",E233="",F233&lt;&gt;"",COUNTIF(Accounts!$A$5:$A$50,D233)=1,COUNTIFS(Categories!$A$5:$A$100,F233,Categories!$C$5:$C$100,"Expense")=1),AND(B233="Refund",D233="",E233&lt;&gt;"",F233&lt;&gt;"",COUNTIF(Accounts!$A$5:$A$50,E233)=1,COUNTIFS(Categories!$A$5:$A$100,F233,Categories!$C$5:$C$100,"Expense")=1),AND(B233="Transfer",D233&lt;&gt;"",E233&lt;&gt;"",D233&lt;&gt;E233,F233="",COUNTIF(Accounts!$A$5:$A$50,D233)=1,COUNTIF(Accounts!$A$5:$A$50,E233)=1),AND(B233="Allocation",F233="Savings &amp; Investment",OR(AND(D233&lt;&gt;"",E233="",COUNTIFS(Accounts!$A$5:$A$50,D233,Accounts!$D$5:$D$50,"Asset")=1),AND(D233="",E233&lt;&gt;"",COUNTIFS(Accounts!$A$5:$A$50,E233,Accounts!$D$5:$D$50,"Asset")=1))),AND(B233="Adjustment",F233="",OR(AND(D233&lt;&gt;"",E233="",COUNTIF(Accounts!$A$5:$A$50,D233)=1),AND(D233="",E233&lt;&gt;"",COUNTIF(Accounts!$A$5:$A$50,E233)=1)))),"OK","CHECK: Type / account / category combination")))</f>
        <v/>
      </c>
    </row>
    <row r="234" spans="1:9">
      <c r="A234" s="56"/>
      <c r="C234" s="57"/>
      <c r="I234" s="13" t="str">
        <f>IF(COUNTA(A234:H234)=0,"",IF(OR(A234="",B234="",C234="",C234&lt;=0),"CHECK: Date, Type and positive Amount required",IF(OR(AND(B234="Income",D234="",E234&lt;&gt;"",F234&lt;&gt;"",COUNTIFS(Accounts!$A$5:$A$50,E234,Accounts!$D$5:$D$50,"Asset")=1,COUNTIFS(Categories!$A$5:$A$100,F234,Categories!$C$5:$C$100,"Income")=1),AND(B234="Expense",D234&lt;&gt;"",E234="",F234&lt;&gt;"",COUNTIF(Accounts!$A$5:$A$50,D234)=1,COUNTIFS(Categories!$A$5:$A$100,F234,Categories!$C$5:$C$100,"Expense")=1),AND(B234="Refund",D234="",E234&lt;&gt;"",F234&lt;&gt;"",COUNTIF(Accounts!$A$5:$A$50,E234)=1,COUNTIFS(Categories!$A$5:$A$100,F234,Categories!$C$5:$C$100,"Expense")=1),AND(B234="Transfer",D234&lt;&gt;"",E234&lt;&gt;"",D234&lt;&gt;E234,F234="",COUNTIF(Accounts!$A$5:$A$50,D234)=1,COUNTIF(Accounts!$A$5:$A$50,E234)=1),AND(B234="Allocation",F234="Savings &amp; Investment",OR(AND(D234&lt;&gt;"",E234="",COUNTIFS(Accounts!$A$5:$A$50,D234,Accounts!$D$5:$D$50,"Asset")=1),AND(D234="",E234&lt;&gt;"",COUNTIFS(Accounts!$A$5:$A$50,E234,Accounts!$D$5:$D$50,"Asset")=1))),AND(B234="Adjustment",F234="",OR(AND(D234&lt;&gt;"",E234="",COUNTIF(Accounts!$A$5:$A$50,D234)=1),AND(D234="",E234&lt;&gt;"",COUNTIF(Accounts!$A$5:$A$50,E234)=1)))),"OK","CHECK: Type / account / category combination")))</f>
        <v/>
      </c>
    </row>
    <row r="235" spans="1:9">
      <c r="A235" s="56"/>
      <c r="C235" s="57"/>
      <c r="I235" s="13" t="str">
        <f>IF(COUNTA(A235:H235)=0,"",IF(OR(A235="",B235="",C235="",C235&lt;=0),"CHECK: Date, Type and positive Amount required",IF(OR(AND(B235="Income",D235="",E235&lt;&gt;"",F235&lt;&gt;"",COUNTIFS(Accounts!$A$5:$A$50,E235,Accounts!$D$5:$D$50,"Asset")=1,COUNTIFS(Categories!$A$5:$A$100,F235,Categories!$C$5:$C$100,"Income")=1),AND(B235="Expense",D235&lt;&gt;"",E235="",F235&lt;&gt;"",COUNTIF(Accounts!$A$5:$A$50,D235)=1,COUNTIFS(Categories!$A$5:$A$100,F235,Categories!$C$5:$C$100,"Expense")=1),AND(B235="Refund",D235="",E235&lt;&gt;"",F235&lt;&gt;"",COUNTIF(Accounts!$A$5:$A$50,E235)=1,COUNTIFS(Categories!$A$5:$A$100,F235,Categories!$C$5:$C$100,"Expense")=1),AND(B235="Transfer",D235&lt;&gt;"",E235&lt;&gt;"",D235&lt;&gt;E235,F235="",COUNTIF(Accounts!$A$5:$A$50,D235)=1,COUNTIF(Accounts!$A$5:$A$50,E235)=1),AND(B235="Allocation",F235="Savings &amp; Investment",OR(AND(D235&lt;&gt;"",E235="",COUNTIFS(Accounts!$A$5:$A$50,D235,Accounts!$D$5:$D$50,"Asset")=1),AND(D235="",E235&lt;&gt;"",COUNTIFS(Accounts!$A$5:$A$50,E235,Accounts!$D$5:$D$50,"Asset")=1))),AND(B235="Adjustment",F235="",OR(AND(D235&lt;&gt;"",E235="",COUNTIF(Accounts!$A$5:$A$50,D235)=1),AND(D235="",E235&lt;&gt;"",COUNTIF(Accounts!$A$5:$A$50,E235)=1)))),"OK","CHECK: Type / account / category combination")))</f>
        <v/>
      </c>
    </row>
    <row r="236" spans="1:9">
      <c r="A236" s="56"/>
      <c r="C236" s="57"/>
      <c r="I236" s="13" t="str">
        <f>IF(COUNTA(A236:H236)=0,"",IF(OR(A236="",B236="",C236="",C236&lt;=0),"CHECK: Date, Type and positive Amount required",IF(OR(AND(B236="Income",D236="",E236&lt;&gt;"",F236&lt;&gt;"",COUNTIFS(Accounts!$A$5:$A$50,E236,Accounts!$D$5:$D$50,"Asset")=1,COUNTIFS(Categories!$A$5:$A$100,F236,Categories!$C$5:$C$100,"Income")=1),AND(B236="Expense",D236&lt;&gt;"",E236="",F236&lt;&gt;"",COUNTIF(Accounts!$A$5:$A$50,D236)=1,COUNTIFS(Categories!$A$5:$A$100,F236,Categories!$C$5:$C$100,"Expense")=1),AND(B236="Refund",D236="",E236&lt;&gt;"",F236&lt;&gt;"",COUNTIF(Accounts!$A$5:$A$50,E236)=1,COUNTIFS(Categories!$A$5:$A$100,F236,Categories!$C$5:$C$100,"Expense")=1),AND(B236="Transfer",D236&lt;&gt;"",E236&lt;&gt;"",D236&lt;&gt;E236,F236="",COUNTIF(Accounts!$A$5:$A$50,D236)=1,COUNTIF(Accounts!$A$5:$A$50,E236)=1),AND(B236="Allocation",F236="Savings &amp; Investment",OR(AND(D236&lt;&gt;"",E236="",COUNTIFS(Accounts!$A$5:$A$50,D236,Accounts!$D$5:$D$50,"Asset")=1),AND(D236="",E236&lt;&gt;"",COUNTIFS(Accounts!$A$5:$A$50,E236,Accounts!$D$5:$D$50,"Asset")=1))),AND(B236="Adjustment",F236="",OR(AND(D236&lt;&gt;"",E236="",COUNTIF(Accounts!$A$5:$A$50,D236)=1),AND(D236="",E236&lt;&gt;"",COUNTIF(Accounts!$A$5:$A$50,E236)=1)))),"OK","CHECK: Type / account / category combination")))</f>
        <v/>
      </c>
    </row>
    <row r="237" spans="1:9">
      <c r="A237" s="56"/>
      <c r="C237" s="57"/>
      <c r="I237" s="13" t="str">
        <f>IF(COUNTA(A237:H237)=0,"",IF(OR(A237="",B237="",C237="",C237&lt;=0),"CHECK: Date, Type and positive Amount required",IF(OR(AND(B237="Income",D237="",E237&lt;&gt;"",F237&lt;&gt;"",COUNTIFS(Accounts!$A$5:$A$50,E237,Accounts!$D$5:$D$50,"Asset")=1,COUNTIFS(Categories!$A$5:$A$100,F237,Categories!$C$5:$C$100,"Income")=1),AND(B237="Expense",D237&lt;&gt;"",E237="",F237&lt;&gt;"",COUNTIF(Accounts!$A$5:$A$50,D237)=1,COUNTIFS(Categories!$A$5:$A$100,F237,Categories!$C$5:$C$100,"Expense")=1),AND(B237="Refund",D237="",E237&lt;&gt;"",F237&lt;&gt;"",COUNTIF(Accounts!$A$5:$A$50,E237)=1,COUNTIFS(Categories!$A$5:$A$100,F237,Categories!$C$5:$C$100,"Expense")=1),AND(B237="Transfer",D237&lt;&gt;"",E237&lt;&gt;"",D237&lt;&gt;E237,F237="",COUNTIF(Accounts!$A$5:$A$50,D237)=1,COUNTIF(Accounts!$A$5:$A$50,E237)=1),AND(B237="Allocation",F237="Savings &amp; Investment",OR(AND(D237&lt;&gt;"",E237="",COUNTIFS(Accounts!$A$5:$A$50,D237,Accounts!$D$5:$D$50,"Asset")=1),AND(D237="",E237&lt;&gt;"",COUNTIFS(Accounts!$A$5:$A$50,E237,Accounts!$D$5:$D$50,"Asset")=1))),AND(B237="Adjustment",F237="",OR(AND(D237&lt;&gt;"",E237="",COUNTIF(Accounts!$A$5:$A$50,D237)=1),AND(D237="",E237&lt;&gt;"",COUNTIF(Accounts!$A$5:$A$50,E237)=1)))),"OK","CHECK: Type / account / category combination")))</f>
        <v/>
      </c>
    </row>
    <row r="238" spans="1:9">
      <c r="A238" s="56"/>
      <c r="C238" s="57"/>
      <c r="I238" s="13" t="str">
        <f>IF(COUNTA(A238:H238)=0,"",IF(OR(A238="",B238="",C238="",C238&lt;=0),"CHECK: Date, Type and positive Amount required",IF(OR(AND(B238="Income",D238="",E238&lt;&gt;"",F238&lt;&gt;"",COUNTIFS(Accounts!$A$5:$A$50,E238,Accounts!$D$5:$D$50,"Asset")=1,COUNTIFS(Categories!$A$5:$A$100,F238,Categories!$C$5:$C$100,"Income")=1),AND(B238="Expense",D238&lt;&gt;"",E238="",F238&lt;&gt;"",COUNTIF(Accounts!$A$5:$A$50,D238)=1,COUNTIFS(Categories!$A$5:$A$100,F238,Categories!$C$5:$C$100,"Expense")=1),AND(B238="Refund",D238="",E238&lt;&gt;"",F238&lt;&gt;"",COUNTIF(Accounts!$A$5:$A$50,E238)=1,COUNTIFS(Categories!$A$5:$A$100,F238,Categories!$C$5:$C$100,"Expense")=1),AND(B238="Transfer",D238&lt;&gt;"",E238&lt;&gt;"",D238&lt;&gt;E238,F238="",COUNTIF(Accounts!$A$5:$A$50,D238)=1,COUNTIF(Accounts!$A$5:$A$50,E238)=1),AND(B238="Allocation",F238="Savings &amp; Investment",OR(AND(D238&lt;&gt;"",E238="",COUNTIFS(Accounts!$A$5:$A$50,D238,Accounts!$D$5:$D$50,"Asset")=1),AND(D238="",E238&lt;&gt;"",COUNTIFS(Accounts!$A$5:$A$50,E238,Accounts!$D$5:$D$50,"Asset")=1))),AND(B238="Adjustment",F238="",OR(AND(D238&lt;&gt;"",E238="",COUNTIF(Accounts!$A$5:$A$50,D238)=1),AND(D238="",E238&lt;&gt;"",COUNTIF(Accounts!$A$5:$A$50,E238)=1)))),"OK","CHECK: Type / account / category combination")))</f>
        <v/>
      </c>
    </row>
    <row r="239" spans="1:9">
      <c r="A239" s="56"/>
      <c r="C239" s="57"/>
      <c r="I239" s="13" t="str">
        <f>IF(COUNTA(A239:H239)=0,"",IF(OR(A239="",B239="",C239="",C239&lt;=0),"CHECK: Date, Type and positive Amount required",IF(OR(AND(B239="Income",D239="",E239&lt;&gt;"",F239&lt;&gt;"",COUNTIFS(Accounts!$A$5:$A$50,E239,Accounts!$D$5:$D$50,"Asset")=1,COUNTIFS(Categories!$A$5:$A$100,F239,Categories!$C$5:$C$100,"Income")=1),AND(B239="Expense",D239&lt;&gt;"",E239="",F239&lt;&gt;"",COUNTIF(Accounts!$A$5:$A$50,D239)=1,COUNTIFS(Categories!$A$5:$A$100,F239,Categories!$C$5:$C$100,"Expense")=1),AND(B239="Refund",D239="",E239&lt;&gt;"",F239&lt;&gt;"",COUNTIF(Accounts!$A$5:$A$50,E239)=1,COUNTIFS(Categories!$A$5:$A$100,F239,Categories!$C$5:$C$100,"Expense")=1),AND(B239="Transfer",D239&lt;&gt;"",E239&lt;&gt;"",D239&lt;&gt;E239,F239="",COUNTIF(Accounts!$A$5:$A$50,D239)=1,COUNTIF(Accounts!$A$5:$A$50,E239)=1),AND(B239="Allocation",F239="Savings &amp; Investment",OR(AND(D239&lt;&gt;"",E239="",COUNTIFS(Accounts!$A$5:$A$50,D239,Accounts!$D$5:$D$50,"Asset")=1),AND(D239="",E239&lt;&gt;"",COUNTIFS(Accounts!$A$5:$A$50,E239,Accounts!$D$5:$D$50,"Asset")=1))),AND(B239="Adjustment",F239="",OR(AND(D239&lt;&gt;"",E239="",COUNTIF(Accounts!$A$5:$A$50,D239)=1),AND(D239="",E239&lt;&gt;"",COUNTIF(Accounts!$A$5:$A$50,E239)=1)))),"OK","CHECK: Type / account / category combination")))</f>
        <v/>
      </c>
    </row>
    <row r="240" spans="1:9">
      <c r="A240" s="56"/>
      <c r="C240" s="57"/>
      <c r="I240" s="13" t="str">
        <f>IF(COUNTA(A240:H240)=0,"",IF(OR(A240="",B240="",C240="",C240&lt;=0),"CHECK: Date, Type and positive Amount required",IF(OR(AND(B240="Income",D240="",E240&lt;&gt;"",F240&lt;&gt;"",COUNTIFS(Accounts!$A$5:$A$50,E240,Accounts!$D$5:$D$50,"Asset")=1,COUNTIFS(Categories!$A$5:$A$100,F240,Categories!$C$5:$C$100,"Income")=1),AND(B240="Expense",D240&lt;&gt;"",E240="",F240&lt;&gt;"",COUNTIF(Accounts!$A$5:$A$50,D240)=1,COUNTIFS(Categories!$A$5:$A$100,F240,Categories!$C$5:$C$100,"Expense")=1),AND(B240="Refund",D240="",E240&lt;&gt;"",F240&lt;&gt;"",COUNTIF(Accounts!$A$5:$A$50,E240)=1,COUNTIFS(Categories!$A$5:$A$100,F240,Categories!$C$5:$C$100,"Expense")=1),AND(B240="Transfer",D240&lt;&gt;"",E240&lt;&gt;"",D240&lt;&gt;E240,F240="",COUNTIF(Accounts!$A$5:$A$50,D240)=1,COUNTIF(Accounts!$A$5:$A$50,E240)=1),AND(B240="Allocation",F240="Savings &amp; Investment",OR(AND(D240&lt;&gt;"",E240="",COUNTIFS(Accounts!$A$5:$A$50,D240,Accounts!$D$5:$D$50,"Asset")=1),AND(D240="",E240&lt;&gt;"",COUNTIFS(Accounts!$A$5:$A$50,E240,Accounts!$D$5:$D$50,"Asset")=1))),AND(B240="Adjustment",F240="",OR(AND(D240&lt;&gt;"",E240="",COUNTIF(Accounts!$A$5:$A$50,D240)=1),AND(D240="",E240&lt;&gt;"",COUNTIF(Accounts!$A$5:$A$50,E240)=1)))),"OK","CHECK: Type / account / category combination")))</f>
        <v/>
      </c>
    </row>
    <row r="241" spans="1:9">
      <c r="A241" s="56"/>
      <c r="C241" s="57"/>
      <c r="I241" s="13" t="str">
        <f>IF(COUNTA(A241:H241)=0,"",IF(OR(A241="",B241="",C241="",C241&lt;=0),"CHECK: Date, Type and positive Amount required",IF(OR(AND(B241="Income",D241="",E241&lt;&gt;"",F241&lt;&gt;"",COUNTIFS(Accounts!$A$5:$A$50,E241,Accounts!$D$5:$D$50,"Asset")=1,COUNTIFS(Categories!$A$5:$A$100,F241,Categories!$C$5:$C$100,"Income")=1),AND(B241="Expense",D241&lt;&gt;"",E241="",F241&lt;&gt;"",COUNTIF(Accounts!$A$5:$A$50,D241)=1,COUNTIFS(Categories!$A$5:$A$100,F241,Categories!$C$5:$C$100,"Expense")=1),AND(B241="Refund",D241="",E241&lt;&gt;"",F241&lt;&gt;"",COUNTIF(Accounts!$A$5:$A$50,E241)=1,COUNTIFS(Categories!$A$5:$A$100,F241,Categories!$C$5:$C$100,"Expense")=1),AND(B241="Transfer",D241&lt;&gt;"",E241&lt;&gt;"",D241&lt;&gt;E241,F241="",COUNTIF(Accounts!$A$5:$A$50,D241)=1,COUNTIF(Accounts!$A$5:$A$50,E241)=1),AND(B241="Allocation",F241="Savings &amp; Investment",OR(AND(D241&lt;&gt;"",E241="",COUNTIFS(Accounts!$A$5:$A$50,D241,Accounts!$D$5:$D$50,"Asset")=1),AND(D241="",E241&lt;&gt;"",COUNTIFS(Accounts!$A$5:$A$50,E241,Accounts!$D$5:$D$50,"Asset")=1))),AND(B241="Adjustment",F241="",OR(AND(D241&lt;&gt;"",E241="",COUNTIF(Accounts!$A$5:$A$50,D241)=1),AND(D241="",E241&lt;&gt;"",COUNTIF(Accounts!$A$5:$A$50,E241)=1)))),"OK","CHECK: Type / account / category combination")))</f>
        <v/>
      </c>
    </row>
    <row r="242" spans="1:9">
      <c r="A242" s="56"/>
      <c r="C242" s="57"/>
      <c r="I242" s="13" t="str">
        <f>IF(COUNTA(A242:H242)=0,"",IF(OR(A242="",B242="",C242="",C242&lt;=0),"CHECK: Date, Type and positive Amount required",IF(OR(AND(B242="Income",D242="",E242&lt;&gt;"",F242&lt;&gt;"",COUNTIFS(Accounts!$A$5:$A$50,E242,Accounts!$D$5:$D$50,"Asset")=1,COUNTIFS(Categories!$A$5:$A$100,F242,Categories!$C$5:$C$100,"Income")=1),AND(B242="Expense",D242&lt;&gt;"",E242="",F242&lt;&gt;"",COUNTIF(Accounts!$A$5:$A$50,D242)=1,COUNTIFS(Categories!$A$5:$A$100,F242,Categories!$C$5:$C$100,"Expense")=1),AND(B242="Refund",D242="",E242&lt;&gt;"",F242&lt;&gt;"",COUNTIF(Accounts!$A$5:$A$50,E242)=1,COUNTIFS(Categories!$A$5:$A$100,F242,Categories!$C$5:$C$100,"Expense")=1),AND(B242="Transfer",D242&lt;&gt;"",E242&lt;&gt;"",D242&lt;&gt;E242,F242="",COUNTIF(Accounts!$A$5:$A$50,D242)=1,COUNTIF(Accounts!$A$5:$A$50,E242)=1),AND(B242="Allocation",F242="Savings &amp; Investment",OR(AND(D242&lt;&gt;"",E242="",COUNTIFS(Accounts!$A$5:$A$50,D242,Accounts!$D$5:$D$50,"Asset")=1),AND(D242="",E242&lt;&gt;"",COUNTIFS(Accounts!$A$5:$A$50,E242,Accounts!$D$5:$D$50,"Asset")=1))),AND(B242="Adjustment",F242="",OR(AND(D242&lt;&gt;"",E242="",COUNTIF(Accounts!$A$5:$A$50,D242)=1),AND(D242="",E242&lt;&gt;"",COUNTIF(Accounts!$A$5:$A$50,E242)=1)))),"OK","CHECK: Type / account / category combination")))</f>
        <v/>
      </c>
    </row>
    <row r="243" spans="1:9">
      <c r="A243" s="56"/>
      <c r="C243" s="57"/>
      <c r="I243" s="13" t="str">
        <f>IF(COUNTA(A243:H243)=0,"",IF(OR(A243="",B243="",C243="",C243&lt;=0),"CHECK: Date, Type and positive Amount required",IF(OR(AND(B243="Income",D243="",E243&lt;&gt;"",F243&lt;&gt;"",COUNTIFS(Accounts!$A$5:$A$50,E243,Accounts!$D$5:$D$50,"Asset")=1,COUNTIFS(Categories!$A$5:$A$100,F243,Categories!$C$5:$C$100,"Income")=1),AND(B243="Expense",D243&lt;&gt;"",E243="",F243&lt;&gt;"",COUNTIF(Accounts!$A$5:$A$50,D243)=1,COUNTIFS(Categories!$A$5:$A$100,F243,Categories!$C$5:$C$100,"Expense")=1),AND(B243="Refund",D243="",E243&lt;&gt;"",F243&lt;&gt;"",COUNTIF(Accounts!$A$5:$A$50,E243)=1,COUNTIFS(Categories!$A$5:$A$100,F243,Categories!$C$5:$C$100,"Expense")=1),AND(B243="Transfer",D243&lt;&gt;"",E243&lt;&gt;"",D243&lt;&gt;E243,F243="",COUNTIF(Accounts!$A$5:$A$50,D243)=1,COUNTIF(Accounts!$A$5:$A$50,E243)=1),AND(B243="Allocation",F243="Savings &amp; Investment",OR(AND(D243&lt;&gt;"",E243="",COUNTIFS(Accounts!$A$5:$A$50,D243,Accounts!$D$5:$D$50,"Asset")=1),AND(D243="",E243&lt;&gt;"",COUNTIFS(Accounts!$A$5:$A$50,E243,Accounts!$D$5:$D$50,"Asset")=1))),AND(B243="Adjustment",F243="",OR(AND(D243&lt;&gt;"",E243="",COUNTIF(Accounts!$A$5:$A$50,D243)=1),AND(D243="",E243&lt;&gt;"",COUNTIF(Accounts!$A$5:$A$50,E243)=1)))),"OK","CHECK: Type / account / category combination")))</f>
        <v/>
      </c>
    </row>
    <row r="244" spans="1:9">
      <c r="A244" s="56"/>
      <c r="C244" s="57"/>
      <c r="I244" s="13" t="str">
        <f>IF(COUNTA(A244:H244)=0,"",IF(OR(A244="",B244="",C244="",C244&lt;=0),"CHECK: Date, Type and positive Amount required",IF(OR(AND(B244="Income",D244="",E244&lt;&gt;"",F244&lt;&gt;"",COUNTIFS(Accounts!$A$5:$A$50,E244,Accounts!$D$5:$D$50,"Asset")=1,COUNTIFS(Categories!$A$5:$A$100,F244,Categories!$C$5:$C$100,"Income")=1),AND(B244="Expense",D244&lt;&gt;"",E244="",F244&lt;&gt;"",COUNTIF(Accounts!$A$5:$A$50,D244)=1,COUNTIFS(Categories!$A$5:$A$100,F244,Categories!$C$5:$C$100,"Expense")=1),AND(B244="Refund",D244="",E244&lt;&gt;"",F244&lt;&gt;"",COUNTIF(Accounts!$A$5:$A$50,E244)=1,COUNTIFS(Categories!$A$5:$A$100,F244,Categories!$C$5:$C$100,"Expense")=1),AND(B244="Transfer",D244&lt;&gt;"",E244&lt;&gt;"",D244&lt;&gt;E244,F244="",COUNTIF(Accounts!$A$5:$A$50,D244)=1,COUNTIF(Accounts!$A$5:$A$50,E244)=1),AND(B244="Allocation",F244="Savings &amp; Investment",OR(AND(D244&lt;&gt;"",E244="",COUNTIFS(Accounts!$A$5:$A$50,D244,Accounts!$D$5:$D$50,"Asset")=1),AND(D244="",E244&lt;&gt;"",COUNTIFS(Accounts!$A$5:$A$50,E244,Accounts!$D$5:$D$50,"Asset")=1))),AND(B244="Adjustment",F244="",OR(AND(D244&lt;&gt;"",E244="",COUNTIF(Accounts!$A$5:$A$50,D244)=1),AND(D244="",E244&lt;&gt;"",COUNTIF(Accounts!$A$5:$A$50,E244)=1)))),"OK","CHECK: Type / account / category combination")))</f>
        <v/>
      </c>
    </row>
    <row r="245" spans="1:9">
      <c r="A245" s="56"/>
      <c r="C245" s="57"/>
      <c r="I245" s="13" t="str">
        <f>IF(COUNTA(A245:H245)=0,"",IF(OR(A245="",B245="",C245="",C245&lt;=0),"CHECK: Date, Type and positive Amount required",IF(OR(AND(B245="Income",D245="",E245&lt;&gt;"",F245&lt;&gt;"",COUNTIFS(Accounts!$A$5:$A$50,E245,Accounts!$D$5:$D$50,"Asset")=1,COUNTIFS(Categories!$A$5:$A$100,F245,Categories!$C$5:$C$100,"Income")=1),AND(B245="Expense",D245&lt;&gt;"",E245="",F245&lt;&gt;"",COUNTIF(Accounts!$A$5:$A$50,D245)=1,COUNTIFS(Categories!$A$5:$A$100,F245,Categories!$C$5:$C$100,"Expense")=1),AND(B245="Refund",D245="",E245&lt;&gt;"",F245&lt;&gt;"",COUNTIF(Accounts!$A$5:$A$50,E245)=1,COUNTIFS(Categories!$A$5:$A$100,F245,Categories!$C$5:$C$100,"Expense")=1),AND(B245="Transfer",D245&lt;&gt;"",E245&lt;&gt;"",D245&lt;&gt;E245,F245="",COUNTIF(Accounts!$A$5:$A$50,D245)=1,COUNTIF(Accounts!$A$5:$A$50,E245)=1),AND(B245="Allocation",F245="Savings &amp; Investment",OR(AND(D245&lt;&gt;"",E245="",COUNTIFS(Accounts!$A$5:$A$50,D245,Accounts!$D$5:$D$50,"Asset")=1),AND(D245="",E245&lt;&gt;"",COUNTIFS(Accounts!$A$5:$A$50,E245,Accounts!$D$5:$D$50,"Asset")=1))),AND(B245="Adjustment",F245="",OR(AND(D245&lt;&gt;"",E245="",COUNTIF(Accounts!$A$5:$A$50,D245)=1),AND(D245="",E245&lt;&gt;"",COUNTIF(Accounts!$A$5:$A$50,E245)=1)))),"OK","CHECK: Type / account / category combination")))</f>
        <v/>
      </c>
    </row>
    <row r="246" spans="1:9">
      <c r="A246" s="56"/>
      <c r="C246" s="57"/>
      <c r="I246" s="13" t="str">
        <f>IF(COUNTA(A246:H246)=0,"",IF(OR(A246="",B246="",C246="",C246&lt;=0),"CHECK: Date, Type and positive Amount required",IF(OR(AND(B246="Income",D246="",E246&lt;&gt;"",F246&lt;&gt;"",COUNTIFS(Accounts!$A$5:$A$50,E246,Accounts!$D$5:$D$50,"Asset")=1,COUNTIFS(Categories!$A$5:$A$100,F246,Categories!$C$5:$C$100,"Income")=1),AND(B246="Expense",D246&lt;&gt;"",E246="",F246&lt;&gt;"",COUNTIF(Accounts!$A$5:$A$50,D246)=1,COUNTIFS(Categories!$A$5:$A$100,F246,Categories!$C$5:$C$100,"Expense")=1),AND(B246="Refund",D246="",E246&lt;&gt;"",F246&lt;&gt;"",COUNTIF(Accounts!$A$5:$A$50,E246)=1,COUNTIFS(Categories!$A$5:$A$100,F246,Categories!$C$5:$C$100,"Expense")=1),AND(B246="Transfer",D246&lt;&gt;"",E246&lt;&gt;"",D246&lt;&gt;E246,F246="",COUNTIF(Accounts!$A$5:$A$50,D246)=1,COUNTIF(Accounts!$A$5:$A$50,E246)=1),AND(B246="Allocation",F246="Savings &amp; Investment",OR(AND(D246&lt;&gt;"",E246="",COUNTIFS(Accounts!$A$5:$A$50,D246,Accounts!$D$5:$D$50,"Asset")=1),AND(D246="",E246&lt;&gt;"",COUNTIFS(Accounts!$A$5:$A$50,E246,Accounts!$D$5:$D$50,"Asset")=1))),AND(B246="Adjustment",F246="",OR(AND(D246&lt;&gt;"",E246="",COUNTIF(Accounts!$A$5:$A$50,D246)=1),AND(D246="",E246&lt;&gt;"",COUNTIF(Accounts!$A$5:$A$50,E246)=1)))),"OK","CHECK: Type / account / category combination")))</f>
        <v/>
      </c>
    </row>
    <row r="247" spans="1:9">
      <c r="A247" s="56"/>
      <c r="C247" s="57"/>
      <c r="I247" s="13" t="str">
        <f>IF(COUNTA(A247:H247)=0,"",IF(OR(A247="",B247="",C247="",C247&lt;=0),"CHECK: Date, Type and positive Amount required",IF(OR(AND(B247="Income",D247="",E247&lt;&gt;"",F247&lt;&gt;"",COUNTIFS(Accounts!$A$5:$A$50,E247,Accounts!$D$5:$D$50,"Asset")=1,COUNTIFS(Categories!$A$5:$A$100,F247,Categories!$C$5:$C$100,"Income")=1),AND(B247="Expense",D247&lt;&gt;"",E247="",F247&lt;&gt;"",COUNTIF(Accounts!$A$5:$A$50,D247)=1,COUNTIFS(Categories!$A$5:$A$100,F247,Categories!$C$5:$C$100,"Expense")=1),AND(B247="Refund",D247="",E247&lt;&gt;"",F247&lt;&gt;"",COUNTIF(Accounts!$A$5:$A$50,E247)=1,COUNTIFS(Categories!$A$5:$A$100,F247,Categories!$C$5:$C$100,"Expense")=1),AND(B247="Transfer",D247&lt;&gt;"",E247&lt;&gt;"",D247&lt;&gt;E247,F247="",COUNTIF(Accounts!$A$5:$A$50,D247)=1,COUNTIF(Accounts!$A$5:$A$50,E247)=1),AND(B247="Allocation",F247="Savings &amp; Investment",OR(AND(D247&lt;&gt;"",E247="",COUNTIFS(Accounts!$A$5:$A$50,D247,Accounts!$D$5:$D$50,"Asset")=1),AND(D247="",E247&lt;&gt;"",COUNTIFS(Accounts!$A$5:$A$50,E247,Accounts!$D$5:$D$50,"Asset")=1))),AND(B247="Adjustment",F247="",OR(AND(D247&lt;&gt;"",E247="",COUNTIF(Accounts!$A$5:$A$50,D247)=1),AND(D247="",E247&lt;&gt;"",COUNTIF(Accounts!$A$5:$A$50,E247)=1)))),"OK","CHECK: Type / account / category combination")))</f>
        <v/>
      </c>
    </row>
    <row r="248" spans="1:9">
      <c r="A248" s="56"/>
      <c r="C248" s="57"/>
      <c r="I248" s="13" t="str">
        <f>IF(COUNTA(A248:H248)=0,"",IF(OR(A248="",B248="",C248="",C248&lt;=0),"CHECK: Date, Type and positive Amount required",IF(OR(AND(B248="Income",D248="",E248&lt;&gt;"",F248&lt;&gt;"",COUNTIFS(Accounts!$A$5:$A$50,E248,Accounts!$D$5:$D$50,"Asset")=1,COUNTIFS(Categories!$A$5:$A$100,F248,Categories!$C$5:$C$100,"Income")=1),AND(B248="Expense",D248&lt;&gt;"",E248="",F248&lt;&gt;"",COUNTIF(Accounts!$A$5:$A$50,D248)=1,COUNTIFS(Categories!$A$5:$A$100,F248,Categories!$C$5:$C$100,"Expense")=1),AND(B248="Refund",D248="",E248&lt;&gt;"",F248&lt;&gt;"",COUNTIF(Accounts!$A$5:$A$50,E248)=1,COUNTIFS(Categories!$A$5:$A$100,F248,Categories!$C$5:$C$100,"Expense")=1),AND(B248="Transfer",D248&lt;&gt;"",E248&lt;&gt;"",D248&lt;&gt;E248,F248="",COUNTIF(Accounts!$A$5:$A$50,D248)=1,COUNTIF(Accounts!$A$5:$A$50,E248)=1),AND(B248="Allocation",F248="Savings &amp; Investment",OR(AND(D248&lt;&gt;"",E248="",COUNTIFS(Accounts!$A$5:$A$50,D248,Accounts!$D$5:$D$50,"Asset")=1),AND(D248="",E248&lt;&gt;"",COUNTIFS(Accounts!$A$5:$A$50,E248,Accounts!$D$5:$D$50,"Asset")=1))),AND(B248="Adjustment",F248="",OR(AND(D248&lt;&gt;"",E248="",COUNTIF(Accounts!$A$5:$A$50,D248)=1),AND(D248="",E248&lt;&gt;"",COUNTIF(Accounts!$A$5:$A$50,E248)=1)))),"OK","CHECK: Type / account / category combination")))</f>
        <v/>
      </c>
    </row>
    <row r="249" spans="1:9">
      <c r="A249" s="56"/>
      <c r="C249" s="57"/>
      <c r="I249" s="13" t="str">
        <f>IF(COUNTA(A249:H249)=0,"",IF(OR(A249="",B249="",C249="",C249&lt;=0),"CHECK: Date, Type and positive Amount required",IF(OR(AND(B249="Income",D249="",E249&lt;&gt;"",F249&lt;&gt;"",COUNTIFS(Accounts!$A$5:$A$50,E249,Accounts!$D$5:$D$50,"Asset")=1,COUNTIFS(Categories!$A$5:$A$100,F249,Categories!$C$5:$C$100,"Income")=1),AND(B249="Expense",D249&lt;&gt;"",E249="",F249&lt;&gt;"",COUNTIF(Accounts!$A$5:$A$50,D249)=1,COUNTIFS(Categories!$A$5:$A$100,F249,Categories!$C$5:$C$100,"Expense")=1),AND(B249="Refund",D249="",E249&lt;&gt;"",F249&lt;&gt;"",COUNTIF(Accounts!$A$5:$A$50,E249)=1,COUNTIFS(Categories!$A$5:$A$100,F249,Categories!$C$5:$C$100,"Expense")=1),AND(B249="Transfer",D249&lt;&gt;"",E249&lt;&gt;"",D249&lt;&gt;E249,F249="",COUNTIF(Accounts!$A$5:$A$50,D249)=1,COUNTIF(Accounts!$A$5:$A$50,E249)=1),AND(B249="Allocation",F249="Savings &amp; Investment",OR(AND(D249&lt;&gt;"",E249="",COUNTIFS(Accounts!$A$5:$A$50,D249,Accounts!$D$5:$D$50,"Asset")=1),AND(D249="",E249&lt;&gt;"",COUNTIFS(Accounts!$A$5:$A$50,E249,Accounts!$D$5:$D$50,"Asset")=1))),AND(B249="Adjustment",F249="",OR(AND(D249&lt;&gt;"",E249="",COUNTIF(Accounts!$A$5:$A$50,D249)=1),AND(D249="",E249&lt;&gt;"",COUNTIF(Accounts!$A$5:$A$50,E249)=1)))),"OK","CHECK: Type / account / category combination")))</f>
        <v/>
      </c>
    </row>
    <row r="250" spans="1:9">
      <c r="A250" s="56"/>
      <c r="C250" s="57"/>
      <c r="I250" s="13" t="str">
        <f>IF(COUNTA(A250:H250)=0,"",IF(OR(A250="",B250="",C250="",C250&lt;=0),"CHECK: Date, Type and positive Amount required",IF(OR(AND(B250="Income",D250="",E250&lt;&gt;"",F250&lt;&gt;"",COUNTIFS(Accounts!$A$5:$A$50,E250,Accounts!$D$5:$D$50,"Asset")=1,COUNTIFS(Categories!$A$5:$A$100,F250,Categories!$C$5:$C$100,"Income")=1),AND(B250="Expense",D250&lt;&gt;"",E250="",F250&lt;&gt;"",COUNTIF(Accounts!$A$5:$A$50,D250)=1,COUNTIFS(Categories!$A$5:$A$100,F250,Categories!$C$5:$C$100,"Expense")=1),AND(B250="Refund",D250="",E250&lt;&gt;"",F250&lt;&gt;"",COUNTIF(Accounts!$A$5:$A$50,E250)=1,COUNTIFS(Categories!$A$5:$A$100,F250,Categories!$C$5:$C$100,"Expense")=1),AND(B250="Transfer",D250&lt;&gt;"",E250&lt;&gt;"",D250&lt;&gt;E250,F250="",COUNTIF(Accounts!$A$5:$A$50,D250)=1,COUNTIF(Accounts!$A$5:$A$50,E250)=1),AND(B250="Allocation",F250="Savings &amp; Investment",OR(AND(D250&lt;&gt;"",E250="",COUNTIFS(Accounts!$A$5:$A$50,D250,Accounts!$D$5:$D$50,"Asset")=1),AND(D250="",E250&lt;&gt;"",COUNTIFS(Accounts!$A$5:$A$50,E250,Accounts!$D$5:$D$50,"Asset")=1))),AND(B250="Adjustment",F250="",OR(AND(D250&lt;&gt;"",E250="",COUNTIF(Accounts!$A$5:$A$50,D250)=1),AND(D250="",E250&lt;&gt;"",COUNTIF(Accounts!$A$5:$A$50,E250)=1)))),"OK","CHECK: Type / account / category combination")))</f>
        <v/>
      </c>
    </row>
    <row r="251" spans="1:9">
      <c r="A251" s="56"/>
      <c r="C251" s="57"/>
      <c r="I251" s="13" t="str">
        <f>IF(COUNTA(A251:H251)=0,"",IF(OR(A251="",B251="",C251="",C251&lt;=0),"CHECK: Date, Type and positive Amount required",IF(OR(AND(B251="Income",D251="",E251&lt;&gt;"",F251&lt;&gt;"",COUNTIFS(Accounts!$A$5:$A$50,E251,Accounts!$D$5:$D$50,"Asset")=1,COUNTIFS(Categories!$A$5:$A$100,F251,Categories!$C$5:$C$100,"Income")=1),AND(B251="Expense",D251&lt;&gt;"",E251="",F251&lt;&gt;"",COUNTIF(Accounts!$A$5:$A$50,D251)=1,COUNTIFS(Categories!$A$5:$A$100,F251,Categories!$C$5:$C$100,"Expense")=1),AND(B251="Refund",D251="",E251&lt;&gt;"",F251&lt;&gt;"",COUNTIF(Accounts!$A$5:$A$50,E251)=1,COUNTIFS(Categories!$A$5:$A$100,F251,Categories!$C$5:$C$100,"Expense")=1),AND(B251="Transfer",D251&lt;&gt;"",E251&lt;&gt;"",D251&lt;&gt;E251,F251="",COUNTIF(Accounts!$A$5:$A$50,D251)=1,COUNTIF(Accounts!$A$5:$A$50,E251)=1),AND(B251="Allocation",F251="Savings &amp; Investment",OR(AND(D251&lt;&gt;"",E251="",COUNTIFS(Accounts!$A$5:$A$50,D251,Accounts!$D$5:$D$50,"Asset")=1),AND(D251="",E251&lt;&gt;"",COUNTIFS(Accounts!$A$5:$A$50,E251,Accounts!$D$5:$D$50,"Asset")=1))),AND(B251="Adjustment",F251="",OR(AND(D251&lt;&gt;"",E251="",COUNTIF(Accounts!$A$5:$A$50,D251)=1),AND(D251="",E251&lt;&gt;"",COUNTIF(Accounts!$A$5:$A$50,E251)=1)))),"OK","CHECK: Type / account / category combination")))</f>
        <v/>
      </c>
    </row>
    <row r="252" spans="1:9">
      <c r="A252" s="56"/>
      <c r="C252" s="57"/>
      <c r="I252" s="13" t="str">
        <f>IF(COUNTA(A252:H252)=0,"",IF(OR(A252="",B252="",C252="",C252&lt;=0),"CHECK: Date, Type and positive Amount required",IF(OR(AND(B252="Income",D252="",E252&lt;&gt;"",F252&lt;&gt;"",COUNTIFS(Accounts!$A$5:$A$50,E252,Accounts!$D$5:$D$50,"Asset")=1,COUNTIFS(Categories!$A$5:$A$100,F252,Categories!$C$5:$C$100,"Income")=1),AND(B252="Expense",D252&lt;&gt;"",E252="",F252&lt;&gt;"",COUNTIF(Accounts!$A$5:$A$50,D252)=1,COUNTIFS(Categories!$A$5:$A$100,F252,Categories!$C$5:$C$100,"Expense")=1),AND(B252="Refund",D252="",E252&lt;&gt;"",F252&lt;&gt;"",COUNTIF(Accounts!$A$5:$A$50,E252)=1,COUNTIFS(Categories!$A$5:$A$100,F252,Categories!$C$5:$C$100,"Expense")=1),AND(B252="Transfer",D252&lt;&gt;"",E252&lt;&gt;"",D252&lt;&gt;E252,F252="",COUNTIF(Accounts!$A$5:$A$50,D252)=1,COUNTIF(Accounts!$A$5:$A$50,E252)=1),AND(B252="Allocation",F252="Savings &amp; Investment",OR(AND(D252&lt;&gt;"",E252="",COUNTIFS(Accounts!$A$5:$A$50,D252,Accounts!$D$5:$D$50,"Asset")=1),AND(D252="",E252&lt;&gt;"",COUNTIFS(Accounts!$A$5:$A$50,E252,Accounts!$D$5:$D$50,"Asset")=1))),AND(B252="Adjustment",F252="",OR(AND(D252&lt;&gt;"",E252="",COUNTIF(Accounts!$A$5:$A$50,D252)=1),AND(D252="",E252&lt;&gt;"",COUNTIF(Accounts!$A$5:$A$50,E252)=1)))),"OK","CHECK: Type / account / category combination")))</f>
        <v/>
      </c>
    </row>
    <row r="253" spans="1:9">
      <c r="A253" s="56"/>
      <c r="C253" s="57"/>
      <c r="I253" s="13" t="str">
        <f>IF(COUNTA(A253:H253)=0,"",IF(OR(A253="",B253="",C253="",C253&lt;=0),"CHECK: Date, Type and positive Amount required",IF(OR(AND(B253="Income",D253="",E253&lt;&gt;"",F253&lt;&gt;"",COUNTIFS(Accounts!$A$5:$A$50,E253,Accounts!$D$5:$D$50,"Asset")=1,COUNTIFS(Categories!$A$5:$A$100,F253,Categories!$C$5:$C$100,"Income")=1),AND(B253="Expense",D253&lt;&gt;"",E253="",F253&lt;&gt;"",COUNTIF(Accounts!$A$5:$A$50,D253)=1,COUNTIFS(Categories!$A$5:$A$100,F253,Categories!$C$5:$C$100,"Expense")=1),AND(B253="Refund",D253="",E253&lt;&gt;"",F253&lt;&gt;"",COUNTIF(Accounts!$A$5:$A$50,E253)=1,COUNTIFS(Categories!$A$5:$A$100,F253,Categories!$C$5:$C$100,"Expense")=1),AND(B253="Transfer",D253&lt;&gt;"",E253&lt;&gt;"",D253&lt;&gt;E253,F253="",COUNTIF(Accounts!$A$5:$A$50,D253)=1,COUNTIF(Accounts!$A$5:$A$50,E253)=1),AND(B253="Allocation",F253="Savings &amp; Investment",OR(AND(D253&lt;&gt;"",E253="",COUNTIFS(Accounts!$A$5:$A$50,D253,Accounts!$D$5:$D$50,"Asset")=1),AND(D253="",E253&lt;&gt;"",COUNTIFS(Accounts!$A$5:$A$50,E253,Accounts!$D$5:$D$50,"Asset")=1))),AND(B253="Adjustment",F253="",OR(AND(D253&lt;&gt;"",E253="",COUNTIF(Accounts!$A$5:$A$50,D253)=1),AND(D253="",E253&lt;&gt;"",COUNTIF(Accounts!$A$5:$A$50,E253)=1)))),"OK","CHECK: Type / account / category combination")))</f>
        <v/>
      </c>
    </row>
    <row r="254" spans="1:9">
      <c r="A254" s="56"/>
      <c r="C254" s="57"/>
      <c r="I254" s="13" t="str">
        <f>IF(COUNTA(A254:H254)=0,"",IF(OR(A254="",B254="",C254="",C254&lt;=0),"CHECK: Date, Type and positive Amount required",IF(OR(AND(B254="Income",D254="",E254&lt;&gt;"",F254&lt;&gt;"",COUNTIFS(Accounts!$A$5:$A$50,E254,Accounts!$D$5:$D$50,"Asset")=1,COUNTIFS(Categories!$A$5:$A$100,F254,Categories!$C$5:$C$100,"Income")=1),AND(B254="Expense",D254&lt;&gt;"",E254="",F254&lt;&gt;"",COUNTIF(Accounts!$A$5:$A$50,D254)=1,COUNTIFS(Categories!$A$5:$A$100,F254,Categories!$C$5:$C$100,"Expense")=1),AND(B254="Refund",D254="",E254&lt;&gt;"",F254&lt;&gt;"",COUNTIF(Accounts!$A$5:$A$50,E254)=1,COUNTIFS(Categories!$A$5:$A$100,F254,Categories!$C$5:$C$100,"Expense")=1),AND(B254="Transfer",D254&lt;&gt;"",E254&lt;&gt;"",D254&lt;&gt;E254,F254="",COUNTIF(Accounts!$A$5:$A$50,D254)=1,COUNTIF(Accounts!$A$5:$A$50,E254)=1),AND(B254="Allocation",F254="Savings &amp; Investment",OR(AND(D254&lt;&gt;"",E254="",COUNTIFS(Accounts!$A$5:$A$50,D254,Accounts!$D$5:$D$50,"Asset")=1),AND(D254="",E254&lt;&gt;"",COUNTIFS(Accounts!$A$5:$A$50,E254,Accounts!$D$5:$D$50,"Asset")=1))),AND(B254="Adjustment",F254="",OR(AND(D254&lt;&gt;"",E254="",COUNTIF(Accounts!$A$5:$A$50,D254)=1),AND(D254="",E254&lt;&gt;"",COUNTIF(Accounts!$A$5:$A$50,E254)=1)))),"OK","CHECK: Type / account / category combination")))</f>
        <v/>
      </c>
    </row>
    <row r="255" spans="1:9">
      <c r="A255" s="56"/>
      <c r="C255" s="57"/>
      <c r="I255" s="13" t="str">
        <f>IF(COUNTA(A255:H255)=0,"",IF(OR(A255="",B255="",C255="",C255&lt;=0),"CHECK: Date, Type and positive Amount required",IF(OR(AND(B255="Income",D255="",E255&lt;&gt;"",F255&lt;&gt;"",COUNTIFS(Accounts!$A$5:$A$50,E255,Accounts!$D$5:$D$50,"Asset")=1,COUNTIFS(Categories!$A$5:$A$100,F255,Categories!$C$5:$C$100,"Income")=1),AND(B255="Expense",D255&lt;&gt;"",E255="",F255&lt;&gt;"",COUNTIF(Accounts!$A$5:$A$50,D255)=1,COUNTIFS(Categories!$A$5:$A$100,F255,Categories!$C$5:$C$100,"Expense")=1),AND(B255="Refund",D255="",E255&lt;&gt;"",F255&lt;&gt;"",COUNTIF(Accounts!$A$5:$A$50,E255)=1,COUNTIFS(Categories!$A$5:$A$100,F255,Categories!$C$5:$C$100,"Expense")=1),AND(B255="Transfer",D255&lt;&gt;"",E255&lt;&gt;"",D255&lt;&gt;E255,F255="",COUNTIF(Accounts!$A$5:$A$50,D255)=1,COUNTIF(Accounts!$A$5:$A$50,E255)=1),AND(B255="Allocation",F255="Savings &amp; Investment",OR(AND(D255&lt;&gt;"",E255="",COUNTIFS(Accounts!$A$5:$A$50,D255,Accounts!$D$5:$D$50,"Asset")=1),AND(D255="",E255&lt;&gt;"",COUNTIFS(Accounts!$A$5:$A$50,E255,Accounts!$D$5:$D$50,"Asset")=1))),AND(B255="Adjustment",F255="",OR(AND(D255&lt;&gt;"",E255="",COUNTIF(Accounts!$A$5:$A$50,D255)=1),AND(D255="",E255&lt;&gt;"",COUNTIF(Accounts!$A$5:$A$50,E255)=1)))),"OK","CHECK: Type / account / category combination")))</f>
        <v/>
      </c>
    </row>
    <row r="256" spans="1:9">
      <c r="A256" s="56"/>
      <c r="C256" s="57"/>
      <c r="I256" s="13" t="str">
        <f>IF(COUNTA(A256:H256)=0,"",IF(OR(A256="",B256="",C256="",C256&lt;=0),"CHECK: Date, Type and positive Amount required",IF(OR(AND(B256="Income",D256="",E256&lt;&gt;"",F256&lt;&gt;"",COUNTIFS(Accounts!$A$5:$A$50,E256,Accounts!$D$5:$D$50,"Asset")=1,COUNTIFS(Categories!$A$5:$A$100,F256,Categories!$C$5:$C$100,"Income")=1),AND(B256="Expense",D256&lt;&gt;"",E256="",F256&lt;&gt;"",COUNTIF(Accounts!$A$5:$A$50,D256)=1,COUNTIFS(Categories!$A$5:$A$100,F256,Categories!$C$5:$C$100,"Expense")=1),AND(B256="Refund",D256="",E256&lt;&gt;"",F256&lt;&gt;"",COUNTIF(Accounts!$A$5:$A$50,E256)=1,COUNTIFS(Categories!$A$5:$A$100,F256,Categories!$C$5:$C$100,"Expense")=1),AND(B256="Transfer",D256&lt;&gt;"",E256&lt;&gt;"",D256&lt;&gt;E256,F256="",COUNTIF(Accounts!$A$5:$A$50,D256)=1,COUNTIF(Accounts!$A$5:$A$50,E256)=1),AND(B256="Allocation",F256="Savings &amp; Investment",OR(AND(D256&lt;&gt;"",E256="",COUNTIFS(Accounts!$A$5:$A$50,D256,Accounts!$D$5:$D$50,"Asset")=1),AND(D256="",E256&lt;&gt;"",COUNTIFS(Accounts!$A$5:$A$50,E256,Accounts!$D$5:$D$50,"Asset")=1))),AND(B256="Adjustment",F256="",OR(AND(D256&lt;&gt;"",E256="",COUNTIF(Accounts!$A$5:$A$50,D256)=1),AND(D256="",E256&lt;&gt;"",COUNTIF(Accounts!$A$5:$A$50,E256)=1)))),"OK","CHECK: Type / account / category combination")))</f>
        <v/>
      </c>
    </row>
    <row r="257" spans="1:9">
      <c r="A257" s="56"/>
      <c r="C257" s="57"/>
      <c r="I257" s="13" t="str">
        <f>IF(COUNTA(A257:H257)=0,"",IF(OR(A257="",B257="",C257="",C257&lt;=0),"CHECK: Date, Type and positive Amount required",IF(OR(AND(B257="Income",D257="",E257&lt;&gt;"",F257&lt;&gt;"",COUNTIFS(Accounts!$A$5:$A$50,E257,Accounts!$D$5:$D$50,"Asset")=1,COUNTIFS(Categories!$A$5:$A$100,F257,Categories!$C$5:$C$100,"Income")=1),AND(B257="Expense",D257&lt;&gt;"",E257="",F257&lt;&gt;"",COUNTIF(Accounts!$A$5:$A$50,D257)=1,COUNTIFS(Categories!$A$5:$A$100,F257,Categories!$C$5:$C$100,"Expense")=1),AND(B257="Refund",D257="",E257&lt;&gt;"",F257&lt;&gt;"",COUNTIF(Accounts!$A$5:$A$50,E257)=1,COUNTIFS(Categories!$A$5:$A$100,F257,Categories!$C$5:$C$100,"Expense")=1),AND(B257="Transfer",D257&lt;&gt;"",E257&lt;&gt;"",D257&lt;&gt;E257,F257="",COUNTIF(Accounts!$A$5:$A$50,D257)=1,COUNTIF(Accounts!$A$5:$A$50,E257)=1),AND(B257="Allocation",F257="Savings &amp; Investment",OR(AND(D257&lt;&gt;"",E257="",COUNTIFS(Accounts!$A$5:$A$50,D257,Accounts!$D$5:$D$50,"Asset")=1),AND(D257="",E257&lt;&gt;"",COUNTIFS(Accounts!$A$5:$A$50,E257,Accounts!$D$5:$D$50,"Asset")=1))),AND(B257="Adjustment",F257="",OR(AND(D257&lt;&gt;"",E257="",COUNTIF(Accounts!$A$5:$A$50,D257)=1),AND(D257="",E257&lt;&gt;"",COUNTIF(Accounts!$A$5:$A$50,E257)=1)))),"OK","CHECK: Type / account / category combination")))</f>
        <v/>
      </c>
    </row>
    <row r="258" spans="1:9">
      <c r="A258" s="56"/>
      <c r="C258" s="57"/>
      <c r="I258" s="13" t="str">
        <f>IF(COUNTA(A258:H258)=0,"",IF(OR(A258="",B258="",C258="",C258&lt;=0),"CHECK: Date, Type and positive Amount required",IF(OR(AND(B258="Income",D258="",E258&lt;&gt;"",F258&lt;&gt;"",COUNTIFS(Accounts!$A$5:$A$50,E258,Accounts!$D$5:$D$50,"Asset")=1,COUNTIFS(Categories!$A$5:$A$100,F258,Categories!$C$5:$C$100,"Income")=1),AND(B258="Expense",D258&lt;&gt;"",E258="",F258&lt;&gt;"",COUNTIF(Accounts!$A$5:$A$50,D258)=1,COUNTIFS(Categories!$A$5:$A$100,F258,Categories!$C$5:$C$100,"Expense")=1),AND(B258="Refund",D258="",E258&lt;&gt;"",F258&lt;&gt;"",COUNTIF(Accounts!$A$5:$A$50,E258)=1,COUNTIFS(Categories!$A$5:$A$100,F258,Categories!$C$5:$C$100,"Expense")=1),AND(B258="Transfer",D258&lt;&gt;"",E258&lt;&gt;"",D258&lt;&gt;E258,F258="",COUNTIF(Accounts!$A$5:$A$50,D258)=1,COUNTIF(Accounts!$A$5:$A$50,E258)=1),AND(B258="Allocation",F258="Savings &amp; Investment",OR(AND(D258&lt;&gt;"",E258="",COUNTIFS(Accounts!$A$5:$A$50,D258,Accounts!$D$5:$D$50,"Asset")=1),AND(D258="",E258&lt;&gt;"",COUNTIFS(Accounts!$A$5:$A$50,E258,Accounts!$D$5:$D$50,"Asset")=1))),AND(B258="Adjustment",F258="",OR(AND(D258&lt;&gt;"",E258="",COUNTIF(Accounts!$A$5:$A$50,D258)=1),AND(D258="",E258&lt;&gt;"",COUNTIF(Accounts!$A$5:$A$50,E258)=1)))),"OK","CHECK: Type / account / category combination")))</f>
        <v/>
      </c>
    </row>
    <row r="259" spans="1:9">
      <c r="A259" s="56"/>
      <c r="C259" s="57"/>
      <c r="I259" s="13" t="str">
        <f>IF(COUNTA(A259:H259)=0,"",IF(OR(A259="",B259="",C259="",C259&lt;=0),"CHECK: Date, Type and positive Amount required",IF(OR(AND(B259="Income",D259="",E259&lt;&gt;"",F259&lt;&gt;"",COUNTIFS(Accounts!$A$5:$A$50,E259,Accounts!$D$5:$D$50,"Asset")=1,COUNTIFS(Categories!$A$5:$A$100,F259,Categories!$C$5:$C$100,"Income")=1),AND(B259="Expense",D259&lt;&gt;"",E259="",F259&lt;&gt;"",COUNTIF(Accounts!$A$5:$A$50,D259)=1,COUNTIFS(Categories!$A$5:$A$100,F259,Categories!$C$5:$C$100,"Expense")=1),AND(B259="Refund",D259="",E259&lt;&gt;"",F259&lt;&gt;"",COUNTIF(Accounts!$A$5:$A$50,E259)=1,COUNTIFS(Categories!$A$5:$A$100,F259,Categories!$C$5:$C$100,"Expense")=1),AND(B259="Transfer",D259&lt;&gt;"",E259&lt;&gt;"",D259&lt;&gt;E259,F259="",COUNTIF(Accounts!$A$5:$A$50,D259)=1,COUNTIF(Accounts!$A$5:$A$50,E259)=1),AND(B259="Allocation",F259="Savings &amp; Investment",OR(AND(D259&lt;&gt;"",E259="",COUNTIFS(Accounts!$A$5:$A$50,D259,Accounts!$D$5:$D$50,"Asset")=1),AND(D259="",E259&lt;&gt;"",COUNTIFS(Accounts!$A$5:$A$50,E259,Accounts!$D$5:$D$50,"Asset")=1))),AND(B259="Adjustment",F259="",OR(AND(D259&lt;&gt;"",E259="",COUNTIF(Accounts!$A$5:$A$50,D259)=1),AND(D259="",E259&lt;&gt;"",COUNTIF(Accounts!$A$5:$A$50,E259)=1)))),"OK","CHECK: Type / account / category combination")))</f>
        <v/>
      </c>
    </row>
    <row r="260" spans="1:9">
      <c r="A260" s="56"/>
      <c r="C260" s="57"/>
      <c r="I260" s="13" t="str">
        <f>IF(COUNTA(A260:H260)=0,"",IF(OR(A260="",B260="",C260="",C260&lt;=0),"CHECK: Date, Type and positive Amount required",IF(OR(AND(B260="Income",D260="",E260&lt;&gt;"",F260&lt;&gt;"",COUNTIFS(Accounts!$A$5:$A$50,E260,Accounts!$D$5:$D$50,"Asset")=1,COUNTIFS(Categories!$A$5:$A$100,F260,Categories!$C$5:$C$100,"Income")=1),AND(B260="Expense",D260&lt;&gt;"",E260="",F260&lt;&gt;"",COUNTIF(Accounts!$A$5:$A$50,D260)=1,COUNTIFS(Categories!$A$5:$A$100,F260,Categories!$C$5:$C$100,"Expense")=1),AND(B260="Refund",D260="",E260&lt;&gt;"",F260&lt;&gt;"",COUNTIF(Accounts!$A$5:$A$50,E260)=1,COUNTIFS(Categories!$A$5:$A$100,F260,Categories!$C$5:$C$100,"Expense")=1),AND(B260="Transfer",D260&lt;&gt;"",E260&lt;&gt;"",D260&lt;&gt;E260,F260="",COUNTIF(Accounts!$A$5:$A$50,D260)=1,COUNTIF(Accounts!$A$5:$A$50,E260)=1),AND(B260="Allocation",F260="Savings &amp; Investment",OR(AND(D260&lt;&gt;"",E260="",COUNTIFS(Accounts!$A$5:$A$50,D260,Accounts!$D$5:$D$50,"Asset")=1),AND(D260="",E260&lt;&gt;"",COUNTIFS(Accounts!$A$5:$A$50,E260,Accounts!$D$5:$D$50,"Asset")=1))),AND(B260="Adjustment",F260="",OR(AND(D260&lt;&gt;"",E260="",COUNTIF(Accounts!$A$5:$A$50,D260)=1),AND(D260="",E260&lt;&gt;"",COUNTIF(Accounts!$A$5:$A$50,E260)=1)))),"OK","CHECK: Type / account / category combination")))</f>
        <v/>
      </c>
    </row>
    <row r="261" spans="1:9">
      <c r="A261" s="56"/>
      <c r="C261" s="57"/>
      <c r="I261" s="13" t="str">
        <f>IF(COUNTA(A261:H261)=0,"",IF(OR(A261="",B261="",C261="",C261&lt;=0),"CHECK: Date, Type and positive Amount required",IF(OR(AND(B261="Income",D261="",E261&lt;&gt;"",F261&lt;&gt;"",COUNTIFS(Accounts!$A$5:$A$50,E261,Accounts!$D$5:$D$50,"Asset")=1,COUNTIFS(Categories!$A$5:$A$100,F261,Categories!$C$5:$C$100,"Income")=1),AND(B261="Expense",D261&lt;&gt;"",E261="",F261&lt;&gt;"",COUNTIF(Accounts!$A$5:$A$50,D261)=1,COUNTIFS(Categories!$A$5:$A$100,F261,Categories!$C$5:$C$100,"Expense")=1),AND(B261="Refund",D261="",E261&lt;&gt;"",F261&lt;&gt;"",COUNTIF(Accounts!$A$5:$A$50,E261)=1,COUNTIFS(Categories!$A$5:$A$100,F261,Categories!$C$5:$C$100,"Expense")=1),AND(B261="Transfer",D261&lt;&gt;"",E261&lt;&gt;"",D261&lt;&gt;E261,F261="",COUNTIF(Accounts!$A$5:$A$50,D261)=1,COUNTIF(Accounts!$A$5:$A$50,E261)=1),AND(B261="Allocation",F261="Savings &amp; Investment",OR(AND(D261&lt;&gt;"",E261="",COUNTIFS(Accounts!$A$5:$A$50,D261,Accounts!$D$5:$D$50,"Asset")=1),AND(D261="",E261&lt;&gt;"",COUNTIFS(Accounts!$A$5:$A$50,E261,Accounts!$D$5:$D$50,"Asset")=1))),AND(B261="Adjustment",F261="",OR(AND(D261&lt;&gt;"",E261="",COUNTIF(Accounts!$A$5:$A$50,D261)=1),AND(D261="",E261&lt;&gt;"",COUNTIF(Accounts!$A$5:$A$50,E261)=1)))),"OK","CHECK: Type / account / category combination")))</f>
        <v/>
      </c>
    </row>
    <row r="262" spans="1:9">
      <c r="A262" s="56"/>
      <c r="C262" s="57"/>
      <c r="I262" s="13" t="str">
        <f>IF(COUNTA(A262:H262)=0,"",IF(OR(A262="",B262="",C262="",C262&lt;=0),"CHECK: Date, Type and positive Amount required",IF(OR(AND(B262="Income",D262="",E262&lt;&gt;"",F262&lt;&gt;"",COUNTIFS(Accounts!$A$5:$A$50,E262,Accounts!$D$5:$D$50,"Asset")=1,COUNTIFS(Categories!$A$5:$A$100,F262,Categories!$C$5:$C$100,"Income")=1),AND(B262="Expense",D262&lt;&gt;"",E262="",F262&lt;&gt;"",COUNTIF(Accounts!$A$5:$A$50,D262)=1,COUNTIFS(Categories!$A$5:$A$100,F262,Categories!$C$5:$C$100,"Expense")=1),AND(B262="Refund",D262="",E262&lt;&gt;"",F262&lt;&gt;"",COUNTIF(Accounts!$A$5:$A$50,E262)=1,COUNTIFS(Categories!$A$5:$A$100,F262,Categories!$C$5:$C$100,"Expense")=1),AND(B262="Transfer",D262&lt;&gt;"",E262&lt;&gt;"",D262&lt;&gt;E262,F262="",COUNTIF(Accounts!$A$5:$A$50,D262)=1,COUNTIF(Accounts!$A$5:$A$50,E262)=1),AND(B262="Allocation",F262="Savings &amp; Investment",OR(AND(D262&lt;&gt;"",E262="",COUNTIFS(Accounts!$A$5:$A$50,D262,Accounts!$D$5:$D$50,"Asset")=1),AND(D262="",E262&lt;&gt;"",COUNTIFS(Accounts!$A$5:$A$50,E262,Accounts!$D$5:$D$50,"Asset")=1))),AND(B262="Adjustment",F262="",OR(AND(D262&lt;&gt;"",E262="",COUNTIF(Accounts!$A$5:$A$50,D262)=1),AND(D262="",E262&lt;&gt;"",COUNTIF(Accounts!$A$5:$A$50,E262)=1)))),"OK","CHECK: Type / account / category combination")))</f>
        <v/>
      </c>
    </row>
    <row r="263" spans="1:9">
      <c r="A263" s="56"/>
      <c r="C263" s="57"/>
      <c r="I263" s="13" t="str">
        <f>IF(COUNTA(A263:H263)=0,"",IF(OR(A263="",B263="",C263="",C263&lt;=0),"CHECK: Date, Type and positive Amount required",IF(OR(AND(B263="Income",D263="",E263&lt;&gt;"",F263&lt;&gt;"",COUNTIFS(Accounts!$A$5:$A$50,E263,Accounts!$D$5:$D$50,"Asset")=1,COUNTIFS(Categories!$A$5:$A$100,F263,Categories!$C$5:$C$100,"Income")=1),AND(B263="Expense",D263&lt;&gt;"",E263="",F263&lt;&gt;"",COUNTIF(Accounts!$A$5:$A$50,D263)=1,COUNTIFS(Categories!$A$5:$A$100,F263,Categories!$C$5:$C$100,"Expense")=1),AND(B263="Refund",D263="",E263&lt;&gt;"",F263&lt;&gt;"",COUNTIF(Accounts!$A$5:$A$50,E263)=1,COUNTIFS(Categories!$A$5:$A$100,F263,Categories!$C$5:$C$100,"Expense")=1),AND(B263="Transfer",D263&lt;&gt;"",E263&lt;&gt;"",D263&lt;&gt;E263,F263="",COUNTIF(Accounts!$A$5:$A$50,D263)=1,COUNTIF(Accounts!$A$5:$A$50,E263)=1),AND(B263="Allocation",F263="Savings &amp; Investment",OR(AND(D263&lt;&gt;"",E263="",COUNTIFS(Accounts!$A$5:$A$50,D263,Accounts!$D$5:$D$50,"Asset")=1),AND(D263="",E263&lt;&gt;"",COUNTIFS(Accounts!$A$5:$A$50,E263,Accounts!$D$5:$D$50,"Asset")=1))),AND(B263="Adjustment",F263="",OR(AND(D263&lt;&gt;"",E263="",COUNTIF(Accounts!$A$5:$A$50,D263)=1),AND(D263="",E263&lt;&gt;"",COUNTIF(Accounts!$A$5:$A$50,E263)=1)))),"OK","CHECK: Type / account / category combination")))</f>
        <v/>
      </c>
    </row>
    <row r="264" spans="1:9">
      <c r="A264" s="56"/>
      <c r="C264" s="57"/>
      <c r="I264" s="13" t="str">
        <f>IF(COUNTA(A264:H264)=0,"",IF(OR(A264="",B264="",C264="",C264&lt;=0),"CHECK: Date, Type and positive Amount required",IF(OR(AND(B264="Income",D264="",E264&lt;&gt;"",F264&lt;&gt;"",COUNTIFS(Accounts!$A$5:$A$50,E264,Accounts!$D$5:$D$50,"Asset")=1,COUNTIFS(Categories!$A$5:$A$100,F264,Categories!$C$5:$C$100,"Income")=1),AND(B264="Expense",D264&lt;&gt;"",E264="",F264&lt;&gt;"",COUNTIF(Accounts!$A$5:$A$50,D264)=1,COUNTIFS(Categories!$A$5:$A$100,F264,Categories!$C$5:$C$100,"Expense")=1),AND(B264="Refund",D264="",E264&lt;&gt;"",F264&lt;&gt;"",COUNTIF(Accounts!$A$5:$A$50,E264)=1,COUNTIFS(Categories!$A$5:$A$100,F264,Categories!$C$5:$C$100,"Expense")=1),AND(B264="Transfer",D264&lt;&gt;"",E264&lt;&gt;"",D264&lt;&gt;E264,F264="",COUNTIF(Accounts!$A$5:$A$50,D264)=1,COUNTIF(Accounts!$A$5:$A$50,E264)=1),AND(B264="Allocation",F264="Savings &amp; Investment",OR(AND(D264&lt;&gt;"",E264="",COUNTIFS(Accounts!$A$5:$A$50,D264,Accounts!$D$5:$D$50,"Asset")=1),AND(D264="",E264&lt;&gt;"",COUNTIFS(Accounts!$A$5:$A$50,E264,Accounts!$D$5:$D$50,"Asset")=1))),AND(B264="Adjustment",F264="",OR(AND(D264&lt;&gt;"",E264="",COUNTIF(Accounts!$A$5:$A$50,D264)=1),AND(D264="",E264&lt;&gt;"",COUNTIF(Accounts!$A$5:$A$50,E264)=1)))),"OK","CHECK: Type / account / category combination")))</f>
        <v/>
      </c>
    </row>
    <row r="265" spans="1:9">
      <c r="A265" s="56"/>
      <c r="C265" s="57"/>
      <c r="I265" s="13" t="str">
        <f>IF(COUNTA(A265:H265)=0,"",IF(OR(A265="",B265="",C265="",C265&lt;=0),"CHECK: Date, Type and positive Amount required",IF(OR(AND(B265="Income",D265="",E265&lt;&gt;"",F265&lt;&gt;"",COUNTIFS(Accounts!$A$5:$A$50,E265,Accounts!$D$5:$D$50,"Asset")=1,COUNTIFS(Categories!$A$5:$A$100,F265,Categories!$C$5:$C$100,"Income")=1),AND(B265="Expense",D265&lt;&gt;"",E265="",F265&lt;&gt;"",COUNTIF(Accounts!$A$5:$A$50,D265)=1,COUNTIFS(Categories!$A$5:$A$100,F265,Categories!$C$5:$C$100,"Expense")=1),AND(B265="Refund",D265="",E265&lt;&gt;"",F265&lt;&gt;"",COUNTIF(Accounts!$A$5:$A$50,E265)=1,COUNTIFS(Categories!$A$5:$A$100,F265,Categories!$C$5:$C$100,"Expense")=1),AND(B265="Transfer",D265&lt;&gt;"",E265&lt;&gt;"",D265&lt;&gt;E265,F265="",COUNTIF(Accounts!$A$5:$A$50,D265)=1,COUNTIF(Accounts!$A$5:$A$50,E265)=1),AND(B265="Allocation",F265="Savings &amp; Investment",OR(AND(D265&lt;&gt;"",E265="",COUNTIFS(Accounts!$A$5:$A$50,D265,Accounts!$D$5:$D$50,"Asset")=1),AND(D265="",E265&lt;&gt;"",COUNTIFS(Accounts!$A$5:$A$50,E265,Accounts!$D$5:$D$50,"Asset")=1))),AND(B265="Adjustment",F265="",OR(AND(D265&lt;&gt;"",E265="",COUNTIF(Accounts!$A$5:$A$50,D265)=1),AND(D265="",E265&lt;&gt;"",COUNTIF(Accounts!$A$5:$A$50,E265)=1)))),"OK","CHECK: Type / account / category combination")))</f>
        <v/>
      </c>
    </row>
    <row r="266" spans="1:9">
      <c r="A266" s="56"/>
      <c r="C266" s="57"/>
      <c r="I266" s="13" t="str">
        <f>IF(COUNTA(A266:H266)=0,"",IF(OR(A266="",B266="",C266="",C266&lt;=0),"CHECK: Date, Type and positive Amount required",IF(OR(AND(B266="Income",D266="",E266&lt;&gt;"",F266&lt;&gt;"",COUNTIFS(Accounts!$A$5:$A$50,E266,Accounts!$D$5:$D$50,"Asset")=1,COUNTIFS(Categories!$A$5:$A$100,F266,Categories!$C$5:$C$100,"Income")=1),AND(B266="Expense",D266&lt;&gt;"",E266="",F266&lt;&gt;"",COUNTIF(Accounts!$A$5:$A$50,D266)=1,COUNTIFS(Categories!$A$5:$A$100,F266,Categories!$C$5:$C$100,"Expense")=1),AND(B266="Refund",D266="",E266&lt;&gt;"",F266&lt;&gt;"",COUNTIF(Accounts!$A$5:$A$50,E266)=1,COUNTIFS(Categories!$A$5:$A$100,F266,Categories!$C$5:$C$100,"Expense")=1),AND(B266="Transfer",D266&lt;&gt;"",E266&lt;&gt;"",D266&lt;&gt;E266,F266="",COUNTIF(Accounts!$A$5:$A$50,D266)=1,COUNTIF(Accounts!$A$5:$A$50,E266)=1),AND(B266="Allocation",F266="Savings &amp; Investment",OR(AND(D266&lt;&gt;"",E266="",COUNTIFS(Accounts!$A$5:$A$50,D266,Accounts!$D$5:$D$50,"Asset")=1),AND(D266="",E266&lt;&gt;"",COUNTIFS(Accounts!$A$5:$A$50,E266,Accounts!$D$5:$D$50,"Asset")=1))),AND(B266="Adjustment",F266="",OR(AND(D266&lt;&gt;"",E266="",COUNTIF(Accounts!$A$5:$A$50,D266)=1),AND(D266="",E266&lt;&gt;"",COUNTIF(Accounts!$A$5:$A$50,E266)=1)))),"OK","CHECK: Type / account / category combination")))</f>
        <v/>
      </c>
    </row>
    <row r="267" spans="1:9">
      <c r="A267" s="56"/>
      <c r="C267" s="57"/>
      <c r="I267" s="13" t="str">
        <f>IF(COUNTA(A267:H267)=0,"",IF(OR(A267="",B267="",C267="",C267&lt;=0),"CHECK: Date, Type and positive Amount required",IF(OR(AND(B267="Income",D267="",E267&lt;&gt;"",F267&lt;&gt;"",COUNTIFS(Accounts!$A$5:$A$50,E267,Accounts!$D$5:$D$50,"Asset")=1,COUNTIFS(Categories!$A$5:$A$100,F267,Categories!$C$5:$C$100,"Income")=1),AND(B267="Expense",D267&lt;&gt;"",E267="",F267&lt;&gt;"",COUNTIF(Accounts!$A$5:$A$50,D267)=1,COUNTIFS(Categories!$A$5:$A$100,F267,Categories!$C$5:$C$100,"Expense")=1),AND(B267="Refund",D267="",E267&lt;&gt;"",F267&lt;&gt;"",COUNTIF(Accounts!$A$5:$A$50,E267)=1,COUNTIFS(Categories!$A$5:$A$100,F267,Categories!$C$5:$C$100,"Expense")=1),AND(B267="Transfer",D267&lt;&gt;"",E267&lt;&gt;"",D267&lt;&gt;E267,F267="",COUNTIF(Accounts!$A$5:$A$50,D267)=1,COUNTIF(Accounts!$A$5:$A$50,E267)=1),AND(B267="Allocation",F267="Savings &amp; Investment",OR(AND(D267&lt;&gt;"",E267="",COUNTIFS(Accounts!$A$5:$A$50,D267,Accounts!$D$5:$D$50,"Asset")=1),AND(D267="",E267&lt;&gt;"",COUNTIFS(Accounts!$A$5:$A$50,E267,Accounts!$D$5:$D$50,"Asset")=1))),AND(B267="Adjustment",F267="",OR(AND(D267&lt;&gt;"",E267="",COUNTIF(Accounts!$A$5:$A$50,D267)=1),AND(D267="",E267&lt;&gt;"",COUNTIF(Accounts!$A$5:$A$50,E267)=1)))),"OK","CHECK: Type / account / category combination")))</f>
        <v/>
      </c>
    </row>
    <row r="268" spans="1:9">
      <c r="A268" s="56"/>
      <c r="C268" s="57"/>
      <c r="I268" s="13" t="str">
        <f>IF(COUNTA(A268:H268)=0,"",IF(OR(A268="",B268="",C268="",C268&lt;=0),"CHECK: Date, Type and positive Amount required",IF(OR(AND(B268="Income",D268="",E268&lt;&gt;"",F268&lt;&gt;"",COUNTIFS(Accounts!$A$5:$A$50,E268,Accounts!$D$5:$D$50,"Asset")=1,COUNTIFS(Categories!$A$5:$A$100,F268,Categories!$C$5:$C$100,"Income")=1),AND(B268="Expense",D268&lt;&gt;"",E268="",F268&lt;&gt;"",COUNTIF(Accounts!$A$5:$A$50,D268)=1,COUNTIFS(Categories!$A$5:$A$100,F268,Categories!$C$5:$C$100,"Expense")=1),AND(B268="Refund",D268="",E268&lt;&gt;"",F268&lt;&gt;"",COUNTIF(Accounts!$A$5:$A$50,E268)=1,COUNTIFS(Categories!$A$5:$A$100,F268,Categories!$C$5:$C$100,"Expense")=1),AND(B268="Transfer",D268&lt;&gt;"",E268&lt;&gt;"",D268&lt;&gt;E268,F268="",COUNTIF(Accounts!$A$5:$A$50,D268)=1,COUNTIF(Accounts!$A$5:$A$50,E268)=1),AND(B268="Allocation",F268="Savings &amp; Investment",OR(AND(D268&lt;&gt;"",E268="",COUNTIFS(Accounts!$A$5:$A$50,D268,Accounts!$D$5:$D$50,"Asset")=1),AND(D268="",E268&lt;&gt;"",COUNTIFS(Accounts!$A$5:$A$50,E268,Accounts!$D$5:$D$50,"Asset")=1))),AND(B268="Adjustment",F268="",OR(AND(D268&lt;&gt;"",E268="",COUNTIF(Accounts!$A$5:$A$50,D268)=1),AND(D268="",E268&lt;&gt;"",COUNTIF(Accounts!$A$5:$A$50,E268)=1)))),"OK","CHECK: Type / account / category combination")))</f>
        <v/>
      </c>
    </row>
    <row r="269" spans="1:9">
      <c r="A269" s="56"/>
      <c r="C269" s="57"/>
      <c r="I269" s="13" t="str">
        <f>IF(COUNTA(A269:H269)=0,"",IF(OR(A269="",B269="",C269="",C269&lt;=0),"CHECK: Date, Type and positive Amount required",IF(OR(AND(B269="Income",D269="",E269&lt;&gt;"",F269&lt;&gt;"",COUNTIFS(Accounts!$A$5:$A$50,E269,Accounts!$D$5:$D$50,"Asset")=1,COUNTIFS(Categories!$A$5:$A$100,F269,Categories!$C$5:$C$100,"Income")=1),AND(B269="Expense",D269&lt;&gt;"",E269="",F269&lt;&gt;"",COUNTIF(Accounts!$A$5:$A$50,D269)=1,COUNTIFS(Categories!$A$5:$A$100,F269,Categories!$C$5:$C$100,"Expense")=1),AND(B269="Refund",D269="",E269&lt;&gt;"",F269&lt;&gt;"",COUNTIF(Accounts!$A$5:$A$50,E269)=1,COUNTIFS(Categories!$A$5:$A$100,F269,Categories!$C$5:$C$100,"Expense")=1),AND(B269="Transfer",D269&lt;&gt;"",E269&lt;&gt;"",D269&lt;&gt;E269,F269="",COUNTIF(Accounts!$A$5:$A$50,D269)=1,COUNTIF(Accounts!$A$5:$A$50,E269)=1),AND(B269="Allocation",F269="Savings &amp; Investment",OR(AND(D269&lt;&gt;"",E269="",COUNTIFS(Accounts!$A$5:$A$50,D269,Accounts!$D$5:$D$50,"Asset")=1),AND(D269="",E269&lt;&gt;"",COUNTIFS(Accounts!$A$5:$A$50,E269,Accounts!$D$5:$D$50,"Asset")=1))),AND(B269="Adjustment",F269="",OR(AND(D269&lt;&gt;"",E269="",COUNTIF(Accounts!$A$5:$A$50,D269)=1),AND(D269="",E269&lt;&gt;"",COUNTIF(Accounts!$A$5:$A$50,E269)=1)))),"OK","CHECK: Type / account / category combination")))</f>
        <v/>
      </c>
    </row>
    <row r="270" spans="1:9">
      <c r="A270" s="56"/>
      <c r="C270" s="57"/>
      <c r="I270" s="13" t="str">
        <f>IF(COUNTA(A270:H270)=0,"",IF(OR(A270="",B270="",C270="",C270&lt;=0),"CHECK: Date, Type and positive Amount required",IF(OR(AND(B270="Income",D270="",E270&lt;&gt;"",F270&lt;&gt;"",COUNTIFS(Accounts!$A$5:$A$50,E270,Accounts!$D$5:$D$50,"Asset")=1,COUNTIFS(Categories!$A$5:$A$100,F270,Categories!$C$5:$C$100,"Income")=1),AND(B270="Expense",D270&lt;&gt;"",E270="",F270&lt;&gt;"",COUNTIF(Accounts!$A$5:$A$50,D270)=1,COUNTIFS(Categories!$A$5:$A$100,F270,Categories!$C$5:$C$100,"Expense")=1),AND(B270="Refund",D270="",E270&lt;&gt;"",F270&lt;&gt;"",COUNTIF(Accounts!$A$5:$A$50,E270)=1,COUNTIFS(Categories!$A$5:$A$100,F270,Categories!$C$5:$C$100,"Expense")=1),AND(B270="Transfer",D270&lt;&gt;"",E270&lt;&gt;"",D270&lt;&gt;E270,F270="",COUNTIF(Accounts!$A$5:$A$50,D270)=1,COUNTIF(Accounts!$A$5:$A$50,E270)=1),AND(B270="Allocation",F270="Savings &amp; Investment",OR(AND(D270&lt;&gt;"",E270="",COUNTIFS(Accounts!$A$5:$A$50,D270,Accounts!$D$5:$D$50,"Asset")=1),AND(D270="",E270&lt;&gt;"",COUNTIFS(Accounts!$A$5:$A$50,E270,Accounts!$D$5:$D$50,"Asset")=1))),AND(B270="Adjustment",F270="",OR(AND(D270&lt;&gt;"",E270="",COUNTIF(Accounts!$A$5:$A$50,D270)=1),AND(D270="",E270&lt;&gt;"",COUNTIF(Accounts!$A$5:$A$50,E270)=1)))),"OK","CHECK: Type / account / category combination")))</f>
        <v/>
      </c>
    </row>
    <row r="271" spans="1:9">
      <c r="A271" s="56"/>
      <c r="C271" s="57"/>
      <c r="I271" s="13" t="str">
        <f>IF(COUNTA(A271:H271)=0,"",IF(OR(A271="",B271="",C271="",C271&lt;=0),"CHECK: Date, Type and positive Amount required",IF(OR(AND(B271="Income",D271="",E271&lt;&gt;"",F271&lt;&gt;"",COUNTIFS(Accounts!$A$5:$A$50,E271,Accounts!$D$5:$D$50,"Asset")=1,COUNTIFS(Categories!$A$5:$A$100,F271,Categories!$C$5:$C$100,"Income")=1),AND(B271="Expense",D271&lt;&gt;"",E271="",F271&lt;&gt;"",COUNTIF(Accounts!$A$5:$A$50,D271)=1,COUNTIFS(Categories!$A$5:$A$100,F271,Categories!$C$5:$C$100,"Expense")=1),AND(B271="Refund",D271="",E271&lt;&gt;"",F271&lt;&gt;"",COUNTIF(Accounts!$A$5:$A$50,E271)=1,COUNTIFS(Categories!$A$5:$A$100,F271,Categories!$C$5:$C$100,"Expense")=1),AND(B271="Transfer",D271&lt;&gt;"",E271&lt;&gt;"",D271&lt;&gt;E271,F271="",COUNTIF(Accounts!$A$5:$A$50,D271)=1,COUNTIF(Accounts!$A$5:$A$50,E271)=1),AND(B271="Allocation",F271="Savings &amp; Investment",OR(AND(D271&lt;&gt;"",E271="",COUNTIFS(Accounts!$A$5:$A$50,D271,Accounts!$D$5:$D$50,"Asset")=1),AND(D271="",E271&lt;&gt;"",COUNTIFS(Accounts!$A$5:$A$50,E271,Accounts!$D$5:$D$50,"Asset")=1))),AND(B271="Adjustment",F271="",OR(AND(D271&lt;&gt;"",E271="",COUNTIF(Accounts!$A$5:$A$50,D271)=1),AND(D271="",E271&lt;&gt;"",COUNTIF(Accounts!$A$5:$A$50,E271)=1)))),"OK","CHECK: Type / account / category combination")))</f>
        <v/>
      </c>
    </row>
    <row r="272" spans="1:9">
      <c r="A272" s="56"/>
      <c r="C272" s="57"/>
      <c r="I272" s="13" t="str">
        <f>IF(COUNTA(A272:H272)=0,"",IF(OR(A272="",B272="",C272="",C272&lt;=0),"CHECK: Date, Type and positive Amount required",IF(OR(AND(B272="Income",D272="",E272&lt;&gt;"",F272&lt;&gt;"",COUNTIFS(Accounts!$A$5:$A$50,E272,Accounts!$D$5:$D$50,"Asset")=1,COUNTIFS(Categories!$A$5:$A$100,F272,Categories!$C$5:$C$100,"Income")=1),AND(B272="Expense",D272&lt;&gt;"",E272="",F272&lt;&gt;"",COUNTIF(Accounts!$A$5:$A$50,D272)=1,COUNTIFS(Categories!$A$5:$A$100,F272,Categories!$C$5:$C$100,"Expense")=1),AND(B272="Refund",D272="",E272&lt;&gt;"",F272&lt;&gt;"",COUNTIF(Accounts!$A$5:$A$50,E272)=1,COUNTIFS(Categories!$A$5:$A$100,F272,Categories!$C$5:$C$100,"Expense")=1),AND(B272="Transfer",D272&lt;&gt;"",E272&lt;&gt;"",D272&lt;&gt;E272,F272="",COUNTIF(Accounts!$A$5:$A$50,D272)=1,COUNTIF(Accounts!$A$5:$A$50,E272)=1),AND(B272="Allocation",F272="Savings &amp; Investment",OR(AND(D272&lt;&gt;"",E272="",COUNTIFS(Accounts!$A$5:$A$50,D272,Accounts!$D$5:$D$50,"Asset")=1),AND(D272="",E272&lt;&gt;"",COUNTIFS(Accounts!$A$5:$A$50,E272,Accounts!$D$5:$D$50,"Asset")=1))),AND(B272="Adjustment",F272="",OR(AND(D272&lt;&gt;"",E272="",COUNTIF(Accounts!$A$5:$A$50,D272)=1),AND(D272="",E272&lt;&gt;"",COUNTIF(Accounts!$A$5:$A$50,E272)=1)))),"OK","CHECK: Type / account / category combination")))</f>
        <v/>
      </c>
    </row>
    <row r="273" spans="1:9">
      <c r="A273" s="56"/>
      <c r="C273" s="57"/>
      <c r="I273" s="13" t="str">
        <f>IF(COUNTA(A273:H273)=0,"",IF(OR(A273="",B273="",C273="",C273&lt;=0),"CHECK: Date, Type and positive Amount required",IF(OR(AND(B273="Income",D273="",E273&lt;&gt;"",F273&lt;&gt;"",COUNTIFS(Accounts!$A$5:$A$50,E273,Accounts!$D$5:$D$50,"Asset")=1,COUNTIFS(Categories!$A$5:$A$100,F273,Categories!$C$5:$C$100,"Income")=1),AND(B273="Expense",D273&lt;&gt;"",E273="",F273&lt;&gt;"",COUNTIF(Accounts!$A$5:$A$50,D273)=1,COUNTIFS(Categories!$A$5:$A$100,F273,Categories!$C$5:$C$100,"Expense")=1),AND(B273="Refund",D273="",E273&lt;&gt;"",F273&lt;&gt;"",COUNTIF(Accounts!$A$5:$A$50,E273)=1,COUNTIFS(Categories!$A$5:$A$100,F273,Categories!$C$5:$C$100,"Expense")=1),AND(B273="Transfer",D273&lt;&gt;"",E273&lt;&gt;"",D273&lt;&gt;E273,F273="",COUNTIF(Accounts!$A$5:$A$50,D273)=1,COUNTIF(Accounts!$A$5:$A$50,E273)=1),AND(B273="Allocation",F273="Savings &amp; Investment",OR(AND(D273&lt;&gt;"",E273="",COUNTIFS(Accounts!$A$5:$A$50,D273,Accounts!$D$5:$D$50,"Asset")=1),AND(D273="",E273&lt;&gt;"",COUNTIFS(Accounts!$A$5:$A$50,E273,Accounts!$D$5:$D$50,"Asset")=1))),AND(B273="Adjustment",F273="",OR(AND(D273&lt;&gt;"",E273="",COUNTIF(Accounts!$A$5:$A$50,D273)=1),AND(D273="",E273&lt;&gt;"",COUNTIF(Accounts!$A$5:$A$50,E273)=1)))),"OK","CHECK: Type / account / category combination")))</f>
        <v/>
      </c>
    </row>
    <row r="274" spans="1:9">
      <c r="A274" s="56"/>
      <c r="C274" s="57"/>
      <c r="I274" s="13" t="str">
        <f>IF(COUNTA(A274:H274)=0,"",IF(OR(A274="",B274="",C274="",C274&lt;=0),"CHECK: Date, Type and positive Amount required",IF(OR(AND(B274="Income",D274="",E274&lt;&gt;"",F274&lt;&gt;"",COUNTIFS(Accounts!$A$5:$A$50,E274,Accounts!$D$5:$D$50,"Asset")=1,COUNTIFS(Categories!$A$5:$A$100,F274,Categories!$C$5:$C$100,"Income")=1),AND(B274="Expense",D274&lt;&gt;"",E274="",F274&lt;&gt;"",COUNTIF(Accounts!$A$5:$A$50,D274)=1,COUNTIFS(Categories!$A$5:$A$100,F274,Categories!$C$5:$C$100,"Expense")=1),AND(B274="Refund",D274="",E274&lt;&gt;"",F274&lt;&gt;"",COUNTIF(Accounts!$A$5:$A$50,E274)=1,COUNTIFS(Categories!$A$5:$A$100,F274,Categories!$C$5:$C$100,"Expense")=1),AND(B274="Transfer",D274&lt;&gt;"",E274&lt;&gt;"",D274&lt;&gt;E274,F274="",COUNTIF(Accounts!$A$5:$A$50,D274)=1,COUNTIF(Accounts!$A$5:$A$50,E274)=1),AND(B274="Allocation",F274="Savings &amp; Investment",OR(AND(D274&lt;&gt;"",E274="",COUNTIFS(Accounts!$A$5:$A$50,D274,Accounts!$D$5:$D$50,"Asset")=1),AND(D274="",E274&lt;&gt;"",COUNTIFS(Accounts!$A$5:$A$50,E274,Accounts!$D$5:$D$50,"Asset")=1))),AND(B274="Adjustment",F274="",OR(AND(D274&lt;&gt;"",E274="",COUNTIF(Accounts!$A$5:$A$50,D274)=1),AND(D274="",E274&lt;&gt;"",COUNTIF(Accounts!$A$5:$A$50,E274)=1)))),"OK","CHECK: Type / account / category combination")))</f>
        <v/>
      </c>
    </row>
    <row r="275" spans="1:9">
      <c r="A275" s="56"/>
      <c r="C275" s="57"/>
      <c r="I275" s="13" t="str">
        <f>IF(COUNTA(A275:H275)=0,"",IF(OR(A275="",B275="",C275="",C275&lt;=0),"CHECK: Date, Type and positive Amount required",IF(OR(AND(B275="Income",D275="",E275&lt;&gt;"",F275&lt;&gt;"",COUNTIFS(Accounts!$A$5:$A$50,E275,Accounts!$D$5:$D$50,"Asset")=1,COUNTIFS(Categories!$A$5:$A$100,F275,Categories!$C$5:$C$100,"Income")=1),AND(B275="Expense",D275&lt;&gt;"",E275="",F275&lt;&gt;"",COUNTIF(Accounts!$A$5:$A$50,D275)=1,COUNTIFS(Categories!$A$5:$A$100,F275,Categories!$C$5:$C$100,"Expense")=1),AND(B275="Refund",D275="",E275&lt;&gt;"",F275&lt;&gt;"",COUNTIF(Accounts!$A$5:$A$50,E275)=1,COUNTIFS(Categories!$A$5:$A$100,F275,Categories!$C$5:$C$100,"Expense")=1),AND(B275="Transfer",D275&lt;&gt;"",E275&lt;&gt;"",D275&lt;&gt;E275,F275="",COUNTIF(Accounts!$A$5:$A$50,D275)=1,COUNTIF(Accounts!$A$5:$A$50,E275)=1),AND(B275="Allocation",F275="Savings &amp; Investment",OR(AND(D275&lt;&gt;"",E275="",COUNTIFS(Accounts!$A$5:$A$50,D275,Accounts!$D$5:$D$50,"Asset")=1),AND(D275="",E275&lt;&gt;"",COUNTIFS(Accounts!$A$5:$A$50,E275,Accounts!$D$5:$D$50,"Asset")=1))),AND(B275="Adjustment",F275="",OR(AND(D275&lt;&gt;"",E275="",COUNTIF(Accounts!$A$5:$A$50,D275)=1),AND(D275="",E275&lt;&gt;"",COUNTIF(Accounts!$A$5:$A$50,E275)=1)))),"OK","CHECK: Type / account / category combination")))</f>
        <v/>
      </c>
    </row>
    <row r="276" spans="1:9">
      <c r="A276" s="56"/>
      <c r="C276" s="57"/>
      <c r="I276" s="13" t="str">
        <f>IF(COUNTA(A276:H276)=0,"",IF(OR(A276="",B276="",C276="",C276&lt;=0),"CHECK: Date, Type and positive Amount required",IF(OR(AND(B276="Income",D276="",E276&lt;&gt;"",F276&lt;&gt;"",COUNTIFS(Accounts!$A$5:$A$50,E276,Accounts!$D$5:$D$50,"Asset")=1,COUNTIFS(Categories!$A$5:$A$100,F276,Categories!$C$5:$C$100,"Income")=1),AND(B276="Expense",D276&lt;&gt;"",E276="",F276&lt;&gt;"",COUNTIF(Accounts!$A$5:$A$50,D276)=1,COUNTIFS(Categories!$A$5:$A$100,F276,Categories!$C$5:$C$100,"Expense")=1),AND(B276="Refund",D276="",E276&lt;&gt;"",F276&lt;&gt;"",COUNTIF(Accounts!$A$5:$A$50,E276)=1,COUNTIFS(Categories!$A$5:$A$100,F276,Categories!$C$5:$C$100,"Expense")=1),AND(B276="Transfer",D276&lt;&gt;"",E276&lt;&gt;"",D276&lt;&gt;E276,F276="",COUNTIF(Accounts!$A$5:$A$50,D276)=1,COUNTIF(Accounts!$A$5:$A$50,E276)=1),AND(B276="Allocation",F276="Savings &amp; Investment",OR(AND(D276&lt;&gt;"",E276="",COUNTIFS(Accounts!$A$5:$A$50,D276,Accounts!$D$5:$D$50,"Asset")=1),AND(D276="",E276&lt;&gt;"",COUNTIFS(Accounts!$A$5:$A$50,E276,Accounts!$D$5:$D$50,"Asset")=1))),AND(B276="Adjustment",F276="",OR(AND(D276&lt;&gt;"",E276="",COUNTIF(Accounts!$A$5:$A$50,D276)=1),AND(D276="",E276&lt;&gt;"",COUNTIF(Accounts!$A$5:$A$50,E276)=1)))),"OK","CHECK: Type / account / category combination")))</f>
        <v/>
      </c>
    </row>
    <row r="277" spans="1:9">
      <c r="A277" s="56"/>
      <c r="C277" s="57"/>
      <c r="I277" s="13" t="str">
        <f>IF(COUNTA(A277:H277)=0,"",IF(OR(A277="",B277="",C277="",C277&lt;=0),"CHECK: Date, Type and positive Amount required",IF(OR(AND(B277="Income",D277="",E277&lt;&gt;"",F277&lt;&gt;"",COUNTIFS(Accounts!$A$5:$A$50,E277,Accounts!$D$5:$D$50,"Asset")=1,COUNTIFS(Categories!$A$5:$A$100,F277,Categories!$C$5:$C$100,"Income")=1),AND(B277="Expense",D277&lt;&gt;"",E277="",F277&lt;&gt;"",COUNTIF(Accounts!$A$5:$A$50,D277)=1,COUNTIFS(Categories!$A$5:$A$100,F277,Categories!$C$5:$C$100,"Expense")=1),AND(B277="Refund",D277="",E277&lt;&gt;"",F277&lt;&gt;"",COUNTIF(Accounts!$A$5:$A$50,E277)=1,COUNTIFS(Categories!$A$5:$A$100,F277,Categories!$C$5:$C$100,"Expense")=1),AND(B277="Transfer",D277&lt;&gt;"",E277&lt;&gt;"",D277&lt;&gt;E277,F277="",COUNTIF(Accounts!$A$5:$A$50,D277)=1,COUNTIF(Accounts!$A$5:$A$50,E277)=1),AND(B277="Allocation",F277="Savings &amp; Investment",OR(AND(D277&lt;&gt;"",E277="",COUNTIFS(Accounts!$A$5:$A$50,D277,Accounts!$D$5:$D$50,"Asset")=1),AND(D277="",E277&lt;&gt;"",COUNTIFS(Accounts!$A$5:$A$50,E277,Accounts!$D$5:$D$50,"Asset")=1))),AND(B277="Adjustment",F277="",OR(AND(D277&lt;&gt;"",E277="",COUNTIF(Accounts!$A$5:$A$50,D277)=1),AND(D277="",E277&lt;&gt;"",COUNTIF(Accounts!$A$5:$A$50,E277)=1)))),"OK","CHECK: Type / account / category combination")))</f>
        <v/>
      </c>
    </row>
    <row r="278" spans="1:9">
      <c r="A278" s="56"/>
      <c r="C278" s="57"/>
      <c r="I278" s="13" t="str">
        <f>IF(COUNTA(A278:H278)=0,"",IF(OR(A278="",B278="",C278="",C278&lt;=0),"CHECK: Date, Type and positive Amount required",IF(OR(AND(B278="Income",D278="",E278&lt;&gt;"",F278&lt;&gt;"",COUNTIFS(Accounts!$A$5:$A$50,E278,Accounts!$D$5:$D$50,"Asset")=1,COUNTIFS(Categories!$A$5:$A$100,F278,Categories!$C$5:$C$100,"Income")=1),AND(B278="Expense",D278&lt;&gt;"",E278="",F278&lt;&gt;"",COUNTIF(Accounts!$A$5:$A$50,D278)=1,COUNTIFS(Categories!$A$5:$A$100,F278,Categories!$C$5:$C$100,"Expense")=1),AND(B278="Refund",D278="",E278&lt;&gt;"",F278&lt;&gt;"",COUNTIF(Accounts!$A$5:$A$50,E278)=1,COUNTIFS(Categories!$A$5:$A$100,F278,Categories!$C$5:$C$100,"Expense")=1),AND(B278="Transfer",D278&lt;&gt;"",E278&lt;&gt;"",D278&lt;&gt;E278,F278="",COUNTIF(Accounts!$A$5:$A$50,D278)=1,COUNTIF(Accounts!$A$5:$A$50,E278)=1),AND(B278="Allocation",F278="Savings &amp; Investment",OR(AND(D278&lt;&gt;"",E278="",COUNTIFS(Accounts!$A$5:$A$50,D278,Accounts!$D$5:$D$50,"Asset")=1),AND(D278="",E278&lt;&gt;"",COUNTIFS(Accounts!$A$5:$A$50,E278,Accounts!$D$5:$D$50,"Asset")=1))),AND(B278="Adjustment",F278="",OR(AND(D278&lt;&gt;"",E278="",COUNTIF(Accounts!$A$5:$A$50,D278)=1),AND(D278="",E278&lt;&gt;"",COUNTIF(Accounts!$A$5:$A$50,E278)=1)))),"OK","CHECK: Type / account / category combination")))</f>
        <v/>
      </c>
    </row>
    <row r="279" spans="1:9">
      <c r="A279" s="56"/>
      <c r="C279" s="57"/>
      <c r="I279" s="13" t="str">
        <f>IF(COUNTA(A279:H279)=0,"",IF(OR(A279="",B279="",C279="",C279&lt;=0),"CHECK: Date, Type and positive Amount required",IF(OR(AND(B279="Income",D279="",E279&lt;&gt;"",F279&lt;&gt;"",COUNTIFS(Accounts!$A$5:$A$50,E279,Accounts!$D$5:$D$50,"Asset")=1,COUNTIFS(Categories!$A$5:$A$100,F279,Categories!$C$5:$C$100,"Income")=1),AND(B279="Expense",D279&lt;&gt;"",E279="",F279&lt;&gt;"",COUNTIF(Accounts!$A$5:$A$50,D279)=1,COUNTIFS(Categories!$A$5:$A$100,F279,Categories!$C$5:$C$100,"Expense")=1),AND(B279="Refund",D279="",E279&lt;&gt;"",F279&lt;&gt;"",COUNTIF(Accounts!$A$5:$A$50,E279)=1,COUNTIFS(Categories!$A$5:$A$100,F279,Categories!$C$5:$C$100,"Expense")=1),AND(B279="Transfer",D279&lt;&gt;"",E279&lt;&gt;"",D279&lt;&gt;E279,F279="",COUNTIF(Accounts!$A$5:$A$50,D279)=1,COUNTIF(Accounts!$A$5:$A$50,E279)=1),AND(B279="Allocation",F279="Savings &amp; Investment",OR(AND(D279&lt;&gt;"",E279="",COUNTIFS(Accounts!$A$5:$A$50,D279,Accounts!$D$5:$D$50,"Asset")=1),AND(D279="",E279&lt;&gt;"",COUNTIFS(Accounts!$A$5:$A$50,E279,Accounts!$D$5:$D$50,"Asset")=1))),AND(B279="Adjustment",F279="",OR(AND(D279&lt;&gt;"",E279="",COUNTIF(Accounts!$A$5:$A$50,D279)=1),AND(D279="",E279&lt;&gt;"",COUNTIF(Accounts!$A$5:$A$50,E279)=1)))),"OK","CHECK: Type / account / category combination")))</f>
        <v/>
      </c>
    </row>
    <row r="280" spans="1:9">
      <c r="A280" s="56"/>
      <c r="C280" s="57"/>
      <c r="I280" s="13" t="str">
        <f>IF(COUNTA(A280:H280)=0,"",IF(OR(A280="",B280="",C280="",C280&lt;=0),"CHECK: Date, Type and positive Amount required",IF(OR(AND(B280="Income",D280="",E280&lt;&gt;"",F280&lt;&gt;"",COUNTIFS(Accounts!$A$5:$A$50,E280,Accounts!$D$5:$D$50,"Asset")=1,COUNTIFS(Categories!$A$5:$A$100,F280,Categories!$C$5:$C$100,"Income")=1),AND(B280="Expense",D280&lt;&gt;"",E280="",F280&lt;&gt;"",COUNTIF(Accounts!$A$5:$A$50,D280)=1,COUNTIFS(Categories!$A$5:$A$100,F280,Categories!$C$5:$C$100,"Expense")=1),AND(B280="Refund",D280="",E280&lt;&gt;"",F280&lt;&gt;"",COUNTIF(Accounts!$A$5:$A$50,E280)=1,COUNTIFS(Categories!$A$5:$A$100,F280,Categories!$C$5:$C$100,"Expense")=1),AND(B280="Transfer",D280&lt;&gt;"",E280&lt;&gt;"",D280&lt;&gt;E280,F280="",COUNTIF(Accounts!$A$5:$A$50,D280)=1,COUNTIF(Accounts!$A$5:$A$50,E280)=1),AND(B280="Allocation",F280="Savings &amp; Investment",OR(AND(D280&lt;&gt;"",E280="",COUNTIFS(Accounts!$A$5:$A$50,D280,Accounts!$D$5:$D$50,"Asset")=1),AND(D280="",E280&lt;&gt;"",COUNTIFS(Accounts!$A$5:$A$50,E280,Accounts!$D$5:$D$50,"Asset")=1))),AND(B280="Adjustment",F280="",OR(AND(D280&lt;&gt;"",E280="",COUNTIF(Accounts!$A$5:$A$50,D280)=1),AND(D280="",E280&lt;&gt;"",COUNTIF(Accounts!$A$5:$A$50,E280)=1)))),"OK","CHECK: Type / account / category combination")))</f>
        <v/>
      </c>
    </row>
    <row r="281" spans="1:9">
      <c r="A281" s="56"/>
      <c r="C281" s="57"/>
      <c r="I281" s="13" t="str">
        <f>IF(COUNTA(A281:H281)=0,"",IF(OR(A281="",B281="",C281="",C281&lt;=0),"CHECK: Date, Type and positive Amount required",IF(OR(AND(B281="Income",D281="",E281&lt;&gt;"",F281&lt;&gt;"",COUNTIFS(Accounts!$A$5:$A$50,E281,Accounts!$D$5:$D$50,"Asset")=1,COUNTIFS(Categories!$A$5:$A$100,F281,Categories!$C$5:$C$100,"Income")=1),AND(B281="Expense",D281&lt;&gt;"",E281="",F281&lt;&gt;"",COUNTIF(Accounts!$A$5:$A$50,D281)=1,COUNTIFS(Categories!$A$5:$A$100,F281,Categories!$C$5:$C$100,"Expense")=1),AND(B281="Refund",D281="",E281&lt;&gt;"",F281&lt;&gt;"",COUNTIF(Accounts!$A$5:$A$50,E281)=1,COUNTIFS(Categories!$A$5:$A$100,F281,Categories!$C$5:$C$100,"Expense")=1),AND(B281="Transfer",D281&lt;&gt;"",E281&lt;&gt;"",D281&lt;&gt;E281,F281="",COUNTIF(Accounts!$A$5:$A$50,D281)=1,COUNTIF(Accounts!$A$5:$A$50,E281)=1),AND(B281="Allocation",F281="Savings &amp; Investment",OR(AND(D281&lt;&gt;"",E281="",COUNTIFS(Accounts!$A$5:$A$50,D281,Accounts!$D$5:$D$50,"Asset")=1),AND(D281="",E281&lt;&gt;"",COUNTIFS(Accounts!$A$5:$A$50,E281,Accounts!$D$5:$D$50,"Asset")=1))),AND(B281="Adjustment",F281="",OR(AND(D281&lt;&gt;"",E281="",COUNTIF(Accounts!$A$5:$A$50,D281)=1),AND(D281="",E281&lt;&gt;"",COUNTIF(Accounts!$A$5:$A$50,E281)=1)))),"OK","CHECK: Type / account / category combination")))</f>
        <v/>
      </c>
    </row>
    <row r="282" spans="1:9">
      <c r="A282" s="56"/>
      <c r="C282" s="57"/>
      <c r="I282" s="13" t="str">
        <f>IF(COUNTA(A282:H282)=0,"",IF(OR(A282="",B282="",C282="",C282&lt;=0),"CHECK: Date, Type and positive Amount required",IF(OR(AND(B282="Income",D282="",E282&lt;&gt;"",F282&lt;&gt;"",COUNTIFS(Accounts!$A$5:$A$50,E282,Accounts!$D$5:$D$50,"Asset")=1,COUNTIFS(Categories!$A$5:$A$100,F282,Categories!$C$5:$C$100,"Income")=1),AND(B282="Expense",D282&lt;&gt;"",E282="",F282&lt;&gt;"",COUNTIF(Accounts!$A$5:$A$50,D282)=1,COUNTIFS(Categories!$A$5:$A$100,F282,Categories!$C$5:$C$100,"Expense")=1),AND(B282="Refund",D282="",E282&lt;&gt;"",F282&lt;&gt;"",COUNTIF(Accounts!$A$5:$A$50,E282)=1,COUNTIFS(Categories!$A$5:$A$100,F282,Categories!$C$5:$C$100,"Expense")=1),AND(B282="Transfer",D282&lt;&gt;"",E282&lt;&gt;"",D282&lt;&gt;E282,F282="",COUNTIF(Accounts!$A$5:$A$50,D282)=1,COUNTIF(Accounts!$A$5:$A$50,E282)=1),AND(B282="Allocation",F282="Savings &amp; Investment",OR(AND(D282&lt;&gt;"",E282="",COUNTIFS(Accounts!$A$5:$A$50,D282,Accounts!$D$5:$D$50,"Asset")=1),AND(D282="",E282&lt;&gt;"",COUNTIFS(Accounts!$A$5:$A$50,E282,Accounts!$D$5:$D$50,"Asset")=1))),AND(B282="Adjustment",F282="",OR(AND(D282&lt;&gt;"",E282="",COUNTIF(Accounts!$A$5:$A$50,D282)=1),AND(D282="",E282&lt;&gt;"",COUNTIF(Accounts!$A$5:$A$50,E282)=1)))),"OK","CHECK: Type / account / category combination")))</f>
        <v/>
      </c>
    </row>
    <row r="283" spans="1:9">
      <c r="A283" s="56"/>
      <c r="C283" s="57"/>
      <c r="I283" s="13" t="str">
        <f>IF(COUNTA(A283:H283)=0,"",IF(OR(A283="",B283="",C283="",C283&lt;=0),"CHECK: Date, Type and positive Amount required",IF(OR(AND(B283="Income",D283="",E283&lt;&gt;"",F283&lt;&gt;"",COUNTIFS(Accounts!$A$5:$A$50,E283,Accounts!$D$5:$D$50,"Asset")=1,COUNTIFS(Categories!$A$5:$A$100,F283,Categories!$C$5:$C$100,"Income")=1),AND(B283="Expense",D283&lt;&gt;"",E283="",F283&lt;&gt;"",COUNTIF(Accounts!$A$5:$A$50,D283)=1,COUNTIFS(Categories!$A$5:$A$100,F283,Categories!$C$5:$C$100,"Expense")=1),AND(B283="Refund",D283="",E283&lt;&gt;"",F283&lt;&gt;"",COUNTIF(Accounts!$A$5:$A$50,E283)=1,COUNTIFS(Categories!$A$5:$A$100,F283,Categories!$C$5:$C$100,"Expense")=1),AND(B283="Transfer",D283&lt;&gt;"",E283&lt;&gt;"",D283&lt;&gt;E283,F283="",COUNTIF(Accounts!$A$5:$A$50,D283)=1,COUNTIF(Accounts!$A$5:$A$50,E283)=1),AND(B283="Allocation",F283="Savings &amp; Investment",OR(AND(D283&lt;&gt;"",E283="",COUNTIFS(Accounts!$A$5:$A$50,D283,Accounts!$D$5:$D$50,"Asset")=1),AND(D283="",E283&lt;&gt;"",COUNTIFS(Accounts!$A$5:$A$50,E283,Accounts!$D$5:$D$50,"Asset")=1))),AND(B283="Adjustment",F283="",OR(AND(D283&lt;&gt;"",E283="",COUNTIF(Accounts!$A$5:$A$50,D283)=1),AND(D283="",E283&lt;&gt;"",COUNTIF(Accounts!$A$5:$A$50,E283)=1)))),"OK","CHECK: Type / account / category combination")))</f>
        <v/>
      </c>
    </row>
    <row r="284" spans="1:9">
      <c r="A284" s="56"/>
      <c r="C284" s="57"/>
      <c r="I284" s="13" t="str">
        <f>IF(COUNTA(A284:H284)=0,"",IF(OR(A284="",B284="",C284="",C284&lt;=0),"CHECK: Date, Type and positive Amount required",IF(OR(AND(B284="Income",D284="",E284&lt;&gt;"",F284&lt;&gt;"",COUNTIFS(Accounts!$A$5:$A$50,E284,Accounts!$D$5:$D$50,"Asset")=1,COUNTIFS(Categories!$A$5:$A$100,F284,Categories!$C$5:$C$100,"Income")=1),AND(B284="Expense",D284&lt;&gt;"",E284="",F284&lt;&gt;"",COUNTIF(Accounts!$A$5:$A$50,D284)=1,COUNTIFS(Categories!$A$5:$A$100,F284,Categories!$C$5:$C$100,"Expense")=1),AND(B284="Refund",D284="",E284&lt;&gt;"",F284&lt;&gt;"",COUNTIF(Accounts!$A$5:$A$50,E284)=1,COUNTIFS(Categories!$A$5:$A$100,F284,Categories!$C$5:$C$100,"Expense")=1),AND(B284="Transfer",D284&lt;&gt;"",E284&lt;&gt;"",D284&lt;&gt;E284,F284="",COUNTIF(Accounts!$A$5:$A$50,D284)=1,COUNTIF(Accounts!$A$5:$A$50,E284)=1),AND(B284="Allocation",F284="Savings &amp; Investment",OR(AND(D284&lt;&gt;"",E284="",COUNTIFS(Accounts!$A$5:$A$50,D284,Accounts!$D$5:$D$50,"Asset")=1),AND(D284="",E284&lt;&gt;"",COUNTIFS(Accounts!$A$5:$A$50,E284,Accounts!$D$5:$D$50,"Asset")=1))),AND(B284="Adjustment",F284="",OR(AND(D284&lt;&gt;"",E284="",COUNTIF(Accounts!$A$5:$A$50,D284)=1),AND(D284="",E284&lt;&gt;"",COUNTIF(Accounts!$A$5:$A$50,E284)=1)))),"OK","CHECK: Type / account / category combination")))</f>
        <v/>
      </c>
    </row>
    <row r="285" spans="1:9">
      <c r="A285" s="56"/>
      <c r="C285" s="57"/>
      <c r="I285" s="13" t="str">
        <f>IF(COUNTA(A285:H285)=0,"",IF(OR(A285="",B285="",C285="",C285&lt;=0),"CHECK: Date, Type and positive Amount required",IF(OR(AND(B285="Income",D285="",E285&lt;&gt;"",F285&lt;&gt;"",COUNTIFS(Accounts!$A$5:$A$50,E285,Accounts!$D$5:$D$50,"Asset")=1,COUNTIFS(Categories!$A$5:$A$100,F285,Categories!$C$5:$C$100,"Income")=1),AND(B285="Expense",D285&lt;&gt;"",E285="",F285&lt;&gt;"",COUNTIF(Accounts!$A$5:$A$50,D285)=1,COUNTIFS(Categories!$A$5:$A$100,F285,Categories!$C$5:$C$100,"Expense")=1),AND(B285="Refund",D285="",E285&lt;&gt;"",F285&lt;&gt;"",COUNTIF(Accounts!$A$5:$A$50,E285)=1,COUNTIFS(Categories!$A$5:$A$100,F285,Categories!$C$5:$C$100,"Expense")=1),AND(B285="Transfer",D285&lt;&gt;"",E285&lt;&gt;"",D285&lt;&gt;E285,F285="",COUNTIF(Accounts!$A$5:$A$50,D285)=1,COUNTIF(Accounts!$A$5:$A$50,E285)=1),AND(B285="Allocation",F285="Savings &amp; Investment",OR(AND(D285&lt;&gt;"",E285="",COUNTIFS(Accounts!$A$5:$A$50,D285,Accounts!$D$5:$D$50,"Asset")=1),AND(D285="",E285&lt;&gt;"",COUNTIFS(Accounts!$A$5:$A$50,E285,Accounts!$D$5:$D$50,"Asset")=1))),AND(B285="Adjustment",F285="",OR(AND(D285&lt;&gt;"",E285="",COUNTIF(Accounts!$A$5:$A$50,D285)=1),AND(D285="",E285&lt;&gt;"",COUNTIF(Accounts!$A$5:$A$50,E285)=1)))),"OK","CHECK: Type / account / category combination")))</f>
        <v/>
      </c>
    </row>
    <row r="286" spans="1:9">
      <c r="A286" s="56"/>
      <c r="C286" s="57"/>
      <c r="I286" s="13" t="str">
        <f>IF(COUNTA(A286:H286)=0,"",IF(OR(A286="",B286="",C286="",C286&lt;=0),"CHECK: Date, Type and positive Amount required",IF(OR(AND(B286="Income",D286="",E286&lt;&gt;"",F286&lt;&gt;"",COUNTIFS(Accounts!$A$5:$A$50,E286,Accounts!$D$5:$D$50,"Asset")=1,COUNTIFS(Categories!$A$5:$A$100,F286,Categories!$C$5:$C$100,"Income")=1),AND(B286="Expense",D286&lt;&gt;"",E286="",F286&lt;&gt;"",COUNTIF(Accounts!$A$5:$A$50,D286)=1,COUNTIFS(Categories!$A$5:$A$100,F286,Categories!$C$5:$C$100,"Expense")=1),AND(B286="Refund",D286="",E286&lt;&gt;"",F286&lt;&gt;"",COUNTIF(Accounts!$A$5:$A$50,E286)=1,COUNTIFS(Categories!$A$5:$A$100,F286,Categories!$C$5:$C$100,"Expense")=1),AND(B286="Transfer",D286&lt;&gt;"",E286&lt;&gt;"",D286&lt;&gt;E286,F286="",COUNTIF(Accounts!$A$5:$A$50,D286)=1,COUNTIF(Accounts!$A$5:$A$50,E286)=1),AND(B286="Allocation",F286="Savings &amp; Investment",OR(AND(D286&lt;&gt;"",E286="",COUNTIFS(Accounts!$A$5:$A$50,D286,Accounts!$D$5:$D$50,"Asset")=1),AND(D286="",E286&lt;&gt;"",COUNTIFS(Accounts!$A$5:$A$50,E286,Accounts!$D$5:$D$50,"Asset")=1))),AND(B286="Adjustment",F286="",OR(AND(D286&lt;&gt;"",E286="",COUNTIF(Accounts!$A$5:$A$50,D286)=1),AND(D286="",E286&lt;&gt;"",COUNTIF(Accounts!$A$5:$A$50,E286)=1)))),"OK","CHECK: Type / account / category combination")))</f>
        <v/>
      </c>
    </row>
    <row r="287" spans="1:9">
      <c r="A287" s="56"/>
      <c r="C287" s="57"/>
      <c r="I287" s="13" t="str">
        <f>IF(COUNTA(A287:H287)=0,"",IF(OR(A287="",B287="",C287="",C287&lt;=0),"CHECK: Date, Type and positive Amount required",IF(OR(AND(B287="Income",D287="",E287&lt;&gt;"",F287&lt;&gt;"",COUNTIFS(Accounts!$A$5:$A$50,E287,Accounts!$D$5:$D$50,"Asset")=1,COUNTIFS(Categories!$A$5:$A$100,F287,Categories!$C$5:$C$100,"Income")=1),AND(B287="Expense",D287&lt;&gt;"",E287="",F287&lt;&gt;"",COUNTIF(Accounts!$A$5:$A$50,D287)=1,COUNTIFS(Categories!$A$5:$A$100,F287,Categories!$C$5:$C$100,"Expense")=1),AND(B287="Refund",D287="",E287&lt;&gt;"",F287&lt;&gt;"",COUNTIF(Accounts!$A$5:$A$50,E287)=1,COUNTIFS(Categories!$A$5:$A$100,F287,Categories!$C$5:$C$100,"Expense")=1),AND(B287="Transfer",D287&lt;&gt;"",E287&lt;&gt;"",D287&lt;&gt;E287,F287="",COUNTIF(Accounts!$A$5:$A$50,D287)=1,COUNTIF(Accounts!$A$5:$A$50,E287)=1),AND(B287="Allocation",F287="Savings &amp; Investment",OR(AND(D287&lt;&gt;"",E287="",COUNTIFS(Accounts!$A$5:$A$50,D287,Accounts!$D$5:$D$50,"Asset")=1),AND(D287="",E287&lt;&gt;"",COUNTIFS(Accounts!$A$5:$A$50,E287,Accounts!$D$5:$D$50,"Asset")=1))),AND(B287="Adjustment",F287="",OR(AND(D287&lt;&gt;"",E287="",COUNTIF(Accounts!$A$5:$A$50,D287)=1),AND(D287="",E287&lt;&gt;"",COUNTIF(Accounts!$A$5:$A$50,E287)=1)))),"OK","CHECK: Type / account / category combination")))</f>
        <v/>
      </c>
    </row>
    <row r="288" spans="1:9">
      <c r="A288" s="56"/>
      <c r="C288" s="57"/>
      <c r="I288" s="13" t="str">
        <f>IF(COUNTA(A288:H288)=0,"",IF(OR(A288="",B288="",C288="",C288&lt;=0),"CHECK: Date, Type and positive Amount required",IF(OR(AND(B288="Income",D288="",E288&lt;&gt;"",F288&lt;&gt;"",COUNTIFS(Accounts!$A$5:$A$50,E288,Accounts!$D$5:$D$50,"Asset")=1,COUNTIFS(Categories!$A$5:$A$100,F288,Categories!$C$5:$C$100,"Income")=1),AND(B288="Expense",D288&lt;&gt;"",E288="",F288&lt;&gt;"",COUNTIF(Accounts!$A$5:$A$50,D288)=1,COUNTIFS(Categories!$A$5:$A$100,F288,Categories!$C$5:$C$100,"Expense")=1),AND(B288="Refund",D288="",E288&lt;&gt;"",F288&lt;&gt;"",COUNTIF(Accounts!$A$5:$A$50,E288)=1,COUNTIFS(Categories!$A$5:$A$100,F288,Categories!$C$5:$C$100,"Expense")=1),AND(B288="Transfer",D288&lt;&gt;"",E288&lt;&gt;"",D288&lt;&gt;E288,F288="",COUNTIF(Accounts!$A$5:$A$50,D288)=1,COUNTIF(Accounts!$A$5:$A$50,E288)=1),AND(B288="Allocation",F288="Savings &amp; Investment",OR(AND(D288&lt;&gt;"",E288="",COUNTIFS(Accounts!$A$5:$A$50,D288,Accounts!$D$5:$D$50,"Asset")=1),AND(D288="",E288&lt;&gt;"",COUNTIFS(Accounts!$A$5:$A$50,E288,Accounts!$D$5:$D$50,"Asset")=1))),AND(B288="Adjustment",F288="",OR(AND(D288&lt;&gt;"",E288="",COUNTIF(Accounts!$A$5:$A$50,D288)=1),AND(D288="",E288&lt;&gt;"",COUNTIF(Accounts!$A$5:$A$50,E288)=1)))),"OK","CHECK: Type / account / category combination")))</f>
        <v/>
      </c>
    </row>
    <row r="289" spans="1:9">
      <c r="A289" s="56"/>
      <c r="C289" s="57"/>
      <c r="I289" s="13" t="str">
        <f>IF(COUNTA(A289:H289)=0,"",IF(OR(A289="",B289="",C289="",C289&lt;=0),"CHECK: Date, Type and positive Amount required",IF(OR(AND(B289="Income",D289="",E289&lt;&gt;"",F289&lt;&gt;"",COUNTIFS(Accounts!$A$5:$A$50,E289,Accounts!$D$5:$D$50,"Asset")=1,COUNTIFS(Categories!$A$5:$A$100,F289,Categories!$C$5:$C$100,"Income")=1),AND(B289="Expense",D289&lt;&gt;"",E289="",F289&lt;&gt;"",COUNTIF(Accounts!$A$5:$A$50,D289)=1,COUNTIFS(Categories!$A$5:$A$100,F289,Categories!$C$5:$C$100,"Expense")=1),AND(B289="Refund",D289="",E289&lt;&gt;"",F289&lt;&gt;"",COUNTIF(Accounts!$A$5:$A$50,E289)=1,COUNTIFS(Categories!$A$5:$A$100,F289,Categories!$C$5:$C$100,"Expense")=1),AND(B289="Transfer",D289&lt;&gt;"",E289&lt;&gt;"",D289&lt;&gt;E289,F289="",COUNTIF(Accounts!$A$5:$A$50,D289)=1,COUNTIF(Accounts!$A$5:$A$50,E289)=1),AND(B289="Allocation",F289="Savings &amp; Investment",OR(AND(D289&lt;&gt;"",E289="",COUNTIFS(Accounts!$A$5:$A$50,D289,Accounts!$D$5:$D$50,"Asset")=1),AND(D289="",E289&lt;&gt;"",COUNTIFS(Accounts!$A$5:$A$50,E289,Accounts!$D$5:$D$50,"Asset")=1))),AND(B289="Adjustment",F289="",OR(AND(D289&lt;&gt;"",E289="",COUNTIF(Accounts!$A$5:$A$50,D289)=1),AND(D289="",E289&lt;&gt;"",COUNTIF(Accounts!$A$5:$A$50,E289)=1)))),"OK","CHECK: Type / account / category combination")))</f>
        <v/>
      </c>
    </row>
    <row r="290" spans="1:9">
      <c r="A290" s="56"/>
      <c r="C290" s="57"/>
      <c r="I290" s="13" t="str">
        <f>IF(COUNTA(A290:H290)=0,"",IF(OR(A290="",B290="",C290="",C290&lt;=0),"CHECK: Date, Type and positive Amount required",IF(OR(AND(B290="Income",D290="",E290&lt;&gt;"",F290&lt;&gt;"",COUNTIFS(Accounts!$A$5:$A$50,E290,Accounts!$D$5:$D$50,"Asset")=1,COUNTIFS(Categories!$A$5:$A$100,F290,Categories!$C$5:$C$100,"Income")=1),AND(B290="Expense",D290&lt;&gt;"",E290="",F290&lt;&gt;"",COUNTIF(Accounts!$A$5:$A$50,D290)=1,COUNTIFS(Categories!$A$5:$A$100,F290,Categories!$C$5:$C$100,"Expense")=1),AND(B290="Refund",D290="",E290&lt;&gt;"",F290&lt;&gt;"",COUNTIF(Accounts!$A$5:$A$50,E290)=1,COUNTIFS(Categories!$A$5:$A$100,F290,Categories!$C$5:$C$100,"Expense")=1),AND(B290="Transfer",D290&lt;&gt;"",E290&lt;&gt;"",D290&lt;&gt;E290,F290="",COUNTIF(Accounts!$A$5:$A$50,D290)=1,COUNTIF(Accounts!$A$5:$A$50,E290)=1),AND(B290="Allocation",F290="Savings &amp; Investment",OR(AND(D290&lt;&gt;"",E290="",COUNTIFS(Accounts!$A$5:$A$50,D290,Accounts!$D$5:$D$50,"Asset")=1),AND(D290="",E290&lt;&gt;"",COUNTIFS(Accounts!$A$5:$A$50,E290,Accounts!$D$5:$D$50,"Asset")=1))),AND(B290="Adjustment",F290="",OR(AND(D290&lt;&gt;"",E290="",COUNTIF(Accounts!$A$5:$A$50,D290)=1),AND(D290="",E290&lt;&gt;"",COUNTIF(Accounts!$A$5:$A$50,E290)=1)))),"OK","CHECK: Type / account / category combination")))</f>
        <v/>
      </c>
    </row>
    <row r="291" spans="1:9">
      <c r="A291" s="56"/>
      <c r="C291" s="57"/>
      <c r="I291" s="13" t="str">
        <f>IF(COUNTA(A291:H291)=0,"",IF(OR(A291="",B291="",C291="",C291&lt;=0),"CHECK: Date, Type and positive Amount required",IF(OR(AND(B291="Income",D291="",E291&lt;&gt;"",F291&lt;&gt;"",COUNTIFS(Accounts!$A$5:$A$50,E291,Accounts!$D$5:$D$50,"Asset")=1,COUNTIFS(Categories!$A$5:$A$100,F291,Categories!$C$5:$C$100,"Income")=1),AND(B291="Expense",D291&lt;&gt;"",E291="",F291&lt;&gt;"",COUNTIF(Accounts!$A$5:$A$50,D291)=1,COUNTIFS(Categories!$A$5:$A$100,F291,Categories!$C$5:$C$100,"Expense")=1),AND(B291="Refund",D291="",E291&lt;&gt;"",F291&lt;&gt;"",COUNTIF(Accounts!$A$5:$A$50,E291)=1,COUNTIFS(Categories!$A$5:$A$100,F291,Categories!$C$5:$C$100,"Expense")=1),AND(B291="Transfer",D291&lt;&gt;"",E291&lt;&gt;"",D291&lt;&gt;E291,F291="",COUNTIF(Accounts!$A$5:$A$50,D291)=1,COUNTIF(Accounts!$A$5:$A$50,E291)=1),AND(B291="Allocation",F291="Savings &amp; Investment",OR(AND(D291&lt;&gt;"",E291="",COUNTIFS(Accounts!$A$5:$A$50,D291,Accounts!$D$5:$D$50,"Asset")=1),AND(D291="",E291&lt;&gt;"",COUNTIFS(Accounts!$A$5:$A$50,E291,Accounts!$D$5:$D$50,"Asset")=1))),AND(B291="Adjustment",F291="",OR(AND(D291&lt;&gt;"",E291="",COUNTIF(Accounts!$A$5:$A$50,D291)=1),AND(D291="",E291&lt;&gt;"",COUNTIF(Accounts!$A$5:$A$50,E291)=1)))),"OK","CHECK: Type / account / category combination")))</f>
        <v/>
      </c>
    </row>
    <row r="292" spans="1:9">
      <c r="A292" s="56"/>
      <c r="C292" s="57"/>
      <c r="I292" s="13" t="str">
        <f>IF(COUNTA(A292:H292)=0,"",IF(OR(A292="",B292="",C292="",C292&lt;=0),"CHECK: Date, Type and positive Amount required",IF(OR(AND(B292="Income",D292="",E292&lt;&gt;"",F292&lt;&gt;"",COUNTIFS(Accounts!$A$5:$A$50,E292,Accounts!$D$5:$D$50,"Asset")=1,COUNTIFS(Categories!$A$5:$A$100,F292,Categories!$C$5:$C$100,"Income")=1),AND(B292="Expense",D292&lt;&gt;"",E292="",F292&lt;&gt;"",COUNTIF(Accounts!$A$5:$A$50,D292)=1,COUNTIFS(Categories!$A$5:$A$100,F292,Categories!$C$5:$C$100,"Expense")=1),AND(B292="Refund",D292="",E292&lt;&gt;"",F292&lt;&gt;"",COUNTIF(Accounts!$A$5:$A$50,E292)=1,COUNTIFS(Categories!$A$5:$A$100,F292,Categories!$C$5:$C$100,"Expense")=1),AND(B292="Transfer",D292&lt;&gt;"",E292&lt;&gt;"",D292&lt;&gt;E292,F292="",COUNTIF(Accounts!$A$5:$A$50,D292)=1,COUNTIF(Accounts!$A$5:$A$50,E292)=1),AND(B292="Allocation",F292="Savings &amp; Investment",OR(AND(D292&lt;&gt;"",E292="",COUNTIFS(Accounts!$A$5:$A$50,D292,Accounts!$D$5:$D$50,"Asset")=1),AND(D292="",E292&lt;&gt;"",COUNTIFS(Accounts!$A$5:$A$50,E292,Accounts!$D$5:$D$50,"Asset")=1))),AND(B292="Adjustment",F292="",OR(AND(D292&lt;&gt;"",E292="",COUNTIF(Accounts!$A$5:$A$50,D292)=1),AND(D292="",E292&lt;&gt;"",COUNTIF(Accounts!$A$5:$A$50,E292)=1)))),"OK","CHECK: Type / account / category combination")))</f>
        <v/>
      </c>
    </row>
    <row r="293" spans="1:9">
      <c r="A293" s="56"/>
      <c r="C293" s="57"/>
      <c r="I293" s="13" t="str">
        <f>IF(COUNTA(A293:H293)=0,"",IF(OR(A293="",B293="",C293="",C293&lt;=0),"CHECK: Date, Type and positive Amount required",IF(OR(AND(B293="Income",D293="",E293&lt;&gt;"",F293&lt;&gt;"",COUNTIFS(Accounts!$A$5:$A$50,E293,Accounts!$D$5:$D$50,"Asset")=1,COUNTIFS(Categories!$A$5:$A$100,F293,Categories!$C$5:$C$100,"Income")=1),AND(B293="Expense",D293&lt;&gt;"",E293="",F293&lt;&gt;"",COUNTIF(Accounts!$A$5:$A$50,D293)=1,COUNTIFS(Categories!$A$5:$A$100,F293,Categories!$C$5:$C$100,"Expense")=1),AND(B293="Refund",D293="",E293&lt;&gt;"",F293&lt;&gt;"",COUNTIF(Accounts!$A$5:$A$50,E293)=1,COUNTIFS(Categories!$A$5:$A$100,F293,Categories!$C$5:$C$100,"Expense")=1),AND(B293="Transfer",D293&lt;&gt;"",E293&lt;&gt;"",D293&lt;&gt;E293,F293="",COUNTIF(Accounts!$A$5:$A$50,D293)=1,COUNTIF(Accounts!$A$5:$A$50,E293)=1),AND(B293="Allocation",F293="Savings &amp; Investment",OR(AND(D293&lt;&gt;"",E293="",COUNTIFS(Accounts!$A$5:$A$50,D293,Accounts!$D$5:$D$50,"Asset")=1),AND(D293="",E293&lt;&gt;"",COUNTIFS(Accounts!$A$5:$A$50,E293,Accounts!$D$5:$D$50,"Asset")=1))),AND(B293="Adjustment",F293="",OR(AND(D293&lt;&gt;"",E293="",COUNTIF(Accounts!$A$5:$A$50,D293)=1),AND(D293="",E293&lt;&gt;"",COUNTIF(Accounts!$A$5:$A$50,E293)=1)))),"OK","CHECK: Type / account / category combination")))</f>
        <v/>
      </c>
    </row>
    <row r="294" spans="1:9">
      <c r="A294" s="56"/>
      <c r="C294" s="57"/>
      <c r="I294" s="13" t="str">
        <f>IF(COUNTA(A294:H294)=0,"",IF(OR(A294="",B294="",C294="",C294&lt;=0),"CHECK: Date, Type and positive Amount required",IF(OR(AND(B294="Income",D294="",E294&lt;&gt;"",F294&lt;&gt;"",COUNTIFS(Accounts!$A$5:$A$50,E294,Accounts!$D$5:$D$50,"Asset")=1,COUNTIFS(Categories!$A$5:$A$100,F294,Categories!$C$5:$C$100,"Income")=1),AND(B294="Expense",D294&lt;&gt;"",E294="",F294&lt;&gt;"",COUNTIF(Accounts!$A$5:$A$50,D294)=1,COUNTIFS(Categories!$A$5:$A$100,F294,Categories!$C$5:$C$100,"Expense")=1),AND(B294="Refund",D294="",E294&lt;&gt;"",F294&lt;&gt;"",COUNTIF(Accounts!$A$5:$A$50,E294)=1,COUNTIFS(Categories!$A$5:$A$100,F294,Categories!$C$5:$C$100,"Expense")=1),AND(B294="Transfer",D294&lt;&gt;"",E294&lt;&gt;"",D294&lt;&gt;E294,F294="",COUNTIF(Accounts!$A$5:$A$50,D294)=1,COUNTIF(Accounts!$A$5:$A$50,E294)=1),AND(B294="Allocation",F294="Savings &amp; Investment",OR(AND(D294&lt;&gt;"",E294="",COUNTIFS(Accounts!$A$5:$A$50,D294,Accounts!$D$5:$D$50,"Asset")=1),AND(D294="",E294&lt;&gt;"",COUNTIFS(Accounts!$A$5:$A$50,E294,Accounts!$D$5:$D$50,"Asset")=1))),AND(B294="Adjustment",F294="",OR(AND(D294&lt;&gt;"",E294="",COUNTIF(Accounts!$A$5:$A$50,D294)=1),AND(D294="",E294&lt;&gt;"",COUNTIF(Accounts!$A$5:$A$50,E294)=1)))),"OK","CHECK: Type / account / category combination")))</f>
        <v/>
      </c>
    </row>
    <row r="295" spans="1:9">
      <c r="A295" s="56"/>
      <c r="C295" s="57"/>
      <c r="I295" s="13" t="str">
        <f>IF(COUNTA(A295:H295)=0,"",IF(OR(A295="",B295="",C295="",C295&lt;=0),"CHECK: Date, Type and positive Amount required",IF(OR(AND(B295="Income",D295="",E295&lt;&gt;"",F295&lt;&gt;"",COUNTIFS(Accounts!$A$5:$A$50,E295,Accounts!$D$5:$D$50,"Asset")=1,COUNTIFS(Categories!$A$5:$A$100,F295,Categories!$C$5:$C$100,"Income")=1),AND(B295="Expense",D295&lt;&gt;"",E295="",F295&lt;&gt;"",COUNTIF(Accounts!$A$5:$A$50,D295)=1,COUNTIFS(Categories!$A$5:$A$100,F295,Categories!$C$5:$C$100,"Expense")=1),AND(B295="Refund",D295="",E295&lt;&gt;"",F295&lt;&gt;"",COUNTIF(Accounts!$A$5:$A$50,E295)=1,COUNTIFS(Categories!$A$5:$A$100,F295,Categories!$C$5:$C$100,"Expense")=1),AND(B295="Transfer",D295&lt;&gt;"",E295&lt;&gt;"",D295&lt;&gt;E295,F295="",COUNTIF(Accounts!$A$5:$A$50,D295)=1,COUNTIF(Accounts!$A$5:$A$50,E295)=1),AND(B295="Allocation",F295="Savings &amp; Investment",OR(AND(D295&lt;&gt;"",E295="",COUNTIFS(Accounts!$A$5:$A$50,D295,Accounts!$D$5:$D$50,"Asset")=1),AND(D295="",E295&lt;&gt;"",COUNTIFS(Accounts!$A$5:$A$50,E295,Accounts!$D$5:$D$50,"Asset")=1))),AND(B295="Adjustment",F295="",OR(AND(D295&lt;&gt;"",E295="",COUNTIF(Accounts!$A$5:$A$50,D295)=1),AND(D295="",E295&lt;&gt;"",COUNTIF(Accounts!$A$5:$A$50,E295)=1)))),"OK","CHECK: Type / account / category combination")))</f>
        <v/>
      </c>
    </row>
    <row r="296" spans="1:9">
      <c r="A296" s="56"/>
      <c r="C296" s="57"/>
      <c r="I296" s="13" t="str">
        <f>IF(COUNTA(A296:H296)=0,"",IF(OR(A296="",B296="",C296="",C296&lt;=0),"CHECK: Date, Type and positive Amount required",IF(OR(AND(B296="Income",D296="",E296&lt;&gt;"",F296&lt;&gt;"",COUNTIFS(Accounts!$A$5:$A$50,E296,Accounts!$D$5:$D$50,"Asset")=1,COUNTIFS(Categories!$A$5:$A$100,F296,Categories!$C$5:$C$100,"Income")=1),AND(B296="Expense",D296&lt;&gt;"",E296="",F296&lt;&gt;"",COUNTIF(Accounts!$A$5:$A$50,D296)=1,COUNTIFS(Categories!$A$5:$A$100,F296,Categories!$C$5:$C$100,"Expense")=1),AND(B296="Refund",D296="",E296&lt;&gt;"",F296&lt;&gt;"",COUNTIF(Accounts!$A$5:$A$50,E296)=1,COUNTIFS(Categories!$A$5:$A$100,F296,Categories!$C$5:$C$100,"Expense")=1),AND(B296="Transfer",D296&lt;&gt;"",E296&lt;&gt;"",D296&lt;&gt;E296,F296="",COUNTIF(Accounts!$A$5:$A$50,D296)=1,COUNTIF(Accounts!$A$5:$A$50,E296)=1),AND(B296="Allocation",F296="Savings &amp; Investment",OR(AND(D296&lt;&gt;"",E296="",COUNTIFS(Accounts!$A$5:$A$50,D296,Accounts!$D$5:$D$50,"Asset")=1),AND(D296="",E296&lt;&gt;"",COUNTIFS(Accounts!$A$5:$A$50,E296,Accounts!$D$5:$D$50,"Asset")=1))),AND(B296="Adjustment",F296="",OR(AND(D296&lt;&gt;"",E296="",COUNTIF(Accounts!$A$5:$A$50,D296)=1),AND(D296="",E296&lt;&gt;"",COUNTIF(Accounts!$A$5:$A$50,E296)=1)))),"OK","CHECK: Type / account / category combination")))</f>
        <v/>
      </c>
    </row>
    <row r="297" spans="1:9">
      <c r="A297" s="56"/>
      <c r="C297" s="57"/>
      <c r="I297" s="13" t="str">
        <f>IF(COUNTA(A297:H297)=0,"",IF(OR(A297="",B297="",C297="",C297&lt;=0),"CHECK: Date, Type and positive Amount required",IF(OR(AND(B297="Income",D297="",E297&lt;&gt;"",F297&lt;&gt;"",COUNTIFS(Accounts!$A$5:$A$50,E297,Accounts!$D$5:$D$50,"Asset")=1,COUNTIFS(Categories!$A$5:$A$100,F297,Categories!$C$5:$C$100,"Income")=1),AND(B297="Expense",D297&lt;&gt;"",E297="",F297&lt;&gt;"",COUNTIF(Accounts!$A$5:$A$50,D297)=1,COUNTIFS(Categories!$A$5:$A$100,F297,Categories!$C$5:$C$100,"Expense")=1),AND(B297="Refund",D297="",E297&lt;&gt;"",F297&lt;&gt;"",COUNTIF(Accounts!$A$5:$A$50,E297)=1,COUNTIFS(Categories!$A$5:$A$100,F297,Categories!$C$5:$C$100,"Expense")=1),AND(B297="Transfer",D297&lt;&gt;"",E297&lt;&gt;"",D297&lt;&gt;E297,F297="",COUNTIF(Accounts!$A$5:$A$50,D297)=1,COUNTIF(Accounts!$A$5:$A$50,E297)=1),AND(B297="Allocation",F297="Savings &amp; Investment",OR(AND(D297&lt;&gt;"",E297="",COUNTIFS(Accounts!$A$5:$A$50,D297,Accounts!$D$5:$D$50,"Asset")=1),AND(D297="",E297&lt;&gt;"",COUNTIFS(Accounts!$A$5:$A$50,E297,Accounts!$D$5:$D$50,"Asset")=1))),AND(B297="Adjustment",F297="",OR(AND(D297&lt;&gt;"",E297="",COUNTIF(Accounts!$A$5:$A$50,D297)=1),AND(D297="",E297&lt;&gt;"",COUNTIF(Accounts!$A$5:$A$50,E297)=1)))),"OK","CHECK: Type / account / category combination")))</f>
        <v/>
      </c>
    </row>
    <row r="298" spans="1:9">
      <c r="A298" s="56"/>
      <c r="C298" s="57"/>
      <c r="I298" s="13" t="str">
        <f>IF(COUNTA(A298:H298)=0,"",IF(OR(A298="",B298="",C298="",C298&lt;=0),"CHECK: Date, Type and positive Amount required",IF(OR(AND(B298="Income",D298="",E298&lt;&gt;"",F298&lt;&gt;"",COUNTIFS(Accounts!$A$5:$A$50,E298,Accounts!$D$5:$D$50,"Asset")=1,COUNTIFS(Categories!$A$5:$A$100,F298,Categories!$C$5:$C$100,"Income")=1),AND(B298="Expense",D298&lt;&gt;"",E298="",F298&lt;&gt;"",COUNTIF(Accounts!$A$5:$A$50,D298)=1,COUNTIFS(Categories!$A$5:$A$100,F298,Categories!$C$5:$C$100,"Expense")=1),AND(B298="Refund",D298="",E298&lt;&gt;"",F298&lt;&gt;"",COUNTIF(Accounts!$A$5:$A$50,E298)=1,COUNTIFS(Categories!$A$5:$A$100,F298,Categories!$C$5:$C$100,"Expense")=1),AND(B298="Transfer",D298&lt;&gt;"",E298&lt;&gt;"",D298&lt;&gt;E298,F298="",COUNTIF(Accounts!$A$5:$A$50,D298)=1,COUNTIF(Accounts!$A$5:$A$50,E298)=1),AND(B298="Allocation",F298="Savings &amp; Investment",OR(AND(D298&lt;&gt;"",E298="",COUNTIFS(Accounts!$A$5:$A$50,D298,Accounts!$D$5:$D$50,"Asset")=1),AND(D298="",E298&lt;&gt;"",COUNTIFS(Accounts!$A$5:$A$50,E298,Accounts!$D$5:$D$50,"Asset")=1))),AND(B298="Adjustment",F298="",OR(AND(D298&lt;&gt;"",E298="",COUNTIF(Accounts!$A$5:$A$50,D298)=1),AND(D298="",E298&lt;&gt;"",COUNTIF(Accounts!$A$5:$A$50,E298)=1)))),"OK","CHECK: Type / account / category combination")))</f>
        <v/>
      </c>
    </row>
    <row r="299" spans="1:9">
      <c r="A299" s="56"/>
      <c r="C299" s="57"/>
      <c r="I299" s="13" t="str">
        <f>IF(COUNTA(A299:H299)=0,"",IF(OR(A299="",B299="",C299="",C299&lt;=0),"CHECK: Date, Type and positive Amount required",IF(OR(AND(B299="Income",D299="",E299&lt;&gt;"",F299&lt;&gt;"",COUNTIFS(Accounts!$A$5:$A$50,E299,Accounts!$D$5:$D$50,"Asset")=1,COUNTIFS(Categories!$A$5:$A$100,F299,Categories!$C$5:$C$100,"Income")=1),AND(B299="Expense",D299&lt;&gt;"",E299="",F299&lt;&gt;"",COUNTIF(Accounts!$A$5:$A$50,D299)=1,COUNTIFS(Categories!$A$5:$A$100,F299,Categories!$C$5:$C$100,"Expense")=1),AND(B299="Refund",D299="",E299&lt;&gt;"",F299&lt;&gt;"",COUNTIF(Accounts!$A$5:$A$50,E299)=1,COUNTIFS(Categories!$A$5:$A$100,F299,Categories!$C$5:$C$100,"Expense")=1),AND(B299="Transfer",D299&lt;&gt;"",E299&lt;&gt;"",D299&lt;&gt;E299,F299="",COUNTIF(Accounts!$A$5:$A$50,D299)=1,COUNTIF(Accounts!$A$5:$A$50,E299)=1),AND(B299="Allocation",F299="Savings &amp; Investment",OR(AND(D299&lt;&gt;"",E299="",COUNTIFS(Accounts!$A$5:$A$50,D299,Accounts!$D$5:$D$50,"Asset")=1),AND(D299="",E299&lt;&gt;"",COUNTIFS(Accounts!$A$5:$A$50,E299,Accounts!$D$5:$D$50,"Asset")=1))),AND(B299="Adjustment",F299="",OR(AND(D299&lt;&gt;"",E299="",COUNTIF(Accounts!$A$5:$A$50,D299)=1),AND(D299="",E299&lt;&gt;"",COUNTIF(Accounts!$A$5:$A$50,E299)=1)))),"OK","CHECK: Type / account / category combination")))</f>
        <v/>
      </c>
    </row>
    <row r="300" spans="1:9">
      <c r="A300" s="56"/>
      <c r="C300" s="57"/>
      <c r="I300" s="13" t="str">
        <f>IF(COUNTA(A300:H300)=0,"",IF(OR(A300="",B300="",C300="",C300&lt;=0),"CHECK: Date, Type and positive Amount required",IF(OR(AND(B300="Income",D300="",E300&lt;&gt;"",F300&lt;&gt;"",COUNTIFS(Accounts!$A$5:$A$50,E300,Accounts!$D$5:$D$50,"Asset")=1,COUNTIFS(Categories!$A$5:$A$100,F300,Categories!$C$5:$C$100,"Income")=1),AND(B300="Expense",D300&lt;&gt;"",E300="",F300&lt;&gt;"",COUNTIF(Accounts!$A$5:$A$50,D300)=1,COUNTIFS(Categories!$A$5:$A$100,F300,Categories!$C$5:$C$100,"Expense")=1),AND(B300="Refund",D300="",E300&lt;&gt;"",F300&lt;&gt;"",COUNTIF(Accounts!$A$5:$A$50,E300)=1,COUNTIFS(Categories!$A$5:$A$100,F300,Categories!$C$5:$C$100,"Expense")=1),AND(B300="Transfer",D300&lt;&gt;"",E300&lt;&gt;"",D300&lt;&gt;E300,F300="",COUNTIF(Accounts!$A$5:$A$50,D300)=1,COUNTIF(Accounts!$A$5:$A$50,E300)=1),AND(B300="Allocation",F300="Savings &amp; Investment",OR(AND(D300&lt;&gt;"",E300="",COUNTIFS(Accounts!$A$5:$A$50,D300,Accounts!$D$5:$D$50,"Asset")=1),AND(D300="",E300&lt;&gt;"",COUNTIFS(Accounts!$A$5:$A$50,E300,Accounts!$D$5:$D$50,"Asset")=1))),AND(B300="Adjustment",F300="",OR(AND(D300&lt;&gt;"",E300="",COUNTIF(Accounts!$A$5:$A$50,D300)=1),AND(D300="",E300&lt;&gt;"",COUNTIF(Accounts!$A$5:$A$50,E300)=1)))),"OK","CHECK: Type / account / category combination")))</f>
        <v/>
      </c>
    </row>
    <row r="301" spans="1:9">
      <c r="A301" s="56"/>
      <c r="C301" s="57"/>
      <c r="I301" s="13" t="str">
        <f>IF(COUNTA(A301:H301)=0,"",IF(OR(A301="",B301="",C301="",C301&lt;=0),"CHECK: Date, Type and positive Amount required",IF(OR(AND(B301="Income",D301="",E301&lt;&gt;"",F301&lt;&gt;"",COUNTIFS(Accounts!$A$5:$A$50,E301,Accounts!$D$5:$D$50,"Asset")=1,COUNTIFS(Categories!$A$5:$A$100,F301,Categories!$C$5:$C$100,"Income")=1),AND(B301="Expense",D301&lt;&gt;"",E301="",F301&lt;&gt;"",COUNTIF(Accounts!$A$5:$A$50,D301)=1,COUNTIFS(Categories!$A$5:$A$100,F301,Categories!$C$5:$C$100,"Expense")=1),AND(B301="Refund",D301="",E301&lt;&gt;"",F301&lt;&gt;"",COUNTIF(Accounts!$A$5:$A$50,E301)=1,COUNTIFS(Categories!$A$5:$A$100,F301,Categories!$C$5:$C$100,"Expense")=1),AND(B301="Transfer",D301&lt;&gt;"",E301&lt;&gt;"",D301&lt;&gt;E301,F301="",COUNTIF(Accounts!$A$5:$A$50,D301)=1,COUNTIF(Accounts!$A$5:$A$50,E301)=1),AND(B301="Allocation",F301="Savings &amp; Investment",OR(AND(D301&lt;&gt;"",E301="",COUNTIFS(Accounts!$A$5:$A$50,D301,Accounts!$D$5:$D$50,"Asset")=1),AND(D301="",E301&lt;&gt;"",COUNTIFS(Accounts!$A$5:$A$50,E301,Accounts!$D$5:$D$50,"Asset")=1))),AND(B301="Adjustment",F301="",OR(AND(D301&lt;&gt;"",E301="",COUNTIF(Accounts!$A$5:$A$50,D301)=1),AND(D301="",E301&lt;&gt;"",COUNTIF(Accounts!$A$5:$A$50,E301)=1)))),"OK","CHECK: Type / account / category combination")))</f>
        <v/>
      </c>
    </row>
    <row r="302" spans="1:9">
      <c r="A302" s="56"/>
      <c r="C302" s="57"/>
      <c r="I302" s="13" t="str">
        <f>IF(COUNTA(A302:H302)=0,"",IF(OR(A302="",B302="",C302="",C302&lt;=0),"CHECK: Date, Type and positive Amount required",IF(OR(AND(B302="Income",D302="",E302&lt;&gt;"",F302&lt;&gt;"",COUNTIFS(Accounts!$A$5:$A$50,E302,Accounts!$D$5:$D$50,"Asset")=1,COUNTIFS(Categories!$A$5:$A$100,F302,Categories!$C$5:$C$100,"Income")=1),AND(B302="Expense",D302&lt;&gt;"",E302="",F302&lt;&gt;"",COUNTIF(Accounts!$A$5:$A$50,D302)=1,COUNTIFS(Categories!$A$5:$A$100,F302,Categories!$C$5:$C$100,"Expense")=1),AND(B302="Refund",D302="",E302&lt;&gt;"",F302&lt;&gt;"",COUNTIF(Accounts!$A$5:$A$50,E302)=1,COUNTIFS(Categories!$A$5:$A$100,F302,Categories!$C$5:$C$100,"Expense")=1),AND(B302="Transfer",D302&lt;&gt;"",E302&lt;&gt;"",D302&lt;&gt;E302,F302="",COUNTIF(Accounts!$A$5:$A$50,D302)=1,COUNTIF(Accounts!$A$5:$A$50,E302)=1),AND(B302="Allocation",F302="Savings &amp; Investment",OR(AND(D302&lt;&gt;"",E302="",COUNTIFS(Accounts!$A$5:$A$50,D302,Accounts!$D$5:$D$50,"Asset")=1),AND(D302="",E302&lt;&gt;"",COUNTIFS(Accounts!$A$5:$A$50,E302,Accounts!$D$5:$D$50,"Asset")=1))),AND(B302="Adjustment",F302="",OR(AND(D302&lt;&gt;"",E302="",COUNTIF(Accounts!$A$5:$A$50,D302)=1),AND(D302="",E302&lt;&gt;"",COUNTIF(Accounts!$A$5:$A$50,E302)=1)))),"OK","CHECK: Type / account / category combination")))</f>
        <v/>
      </c>
    </row>
    <row r="303" spans="1:9">
      <c r="A303" s="56"/>
      <c r="C303" s="57"/>
      <c r="I303" s="13" t="str">
        <f>IF(COUNTA(A303:H303)=0,"",IF(OR(A303="",B303="",C303="",C303&lt;=0),"CHECK: Date, Type and positive Amount required",IF(OR(AND(B303="Income",D303="",E303&lt;&gt;"",F303&lt;&gt;"",COUNTIFS(Accounts!$A$5:$A$50,E303,Accounts!$D$5:$D$50,"Asset")=1,COUNTIFS(Categories!$A$5:$A$100,F303,Categories!$C$5:$C$100,"Income")=1),AND(B303="Expense",D303&lt;&gt;"",E303="",F303&lt;&gt;"",COUNTIF(Accounts!$A$5:$A$50,D303)=1,COUNTIFS(Categories!$A$5:$A$100,F303,Categories!$C$5:$C$100,"Expense")=1),AND(B303="Refund",D303="",E303&lt;&gt;"",F303&lt;&gt;"",COUNTIF(Accounts!$A$5:$A$50,E303)=1,COUNTIFS(Categories!$A$5:$A$100,F303,Categories!$C$5:$C$100,"Expense")=1),AND(B303="Transfer",D303&lt;&gt;"",E303&lt;&gt;"",D303&lt;&gt;E303,F303="",COUNTIF(Accounts!$A$5:$A$50,D303)=1,COUNTIF(Accounts!$A$5:$A$50,E303)=1),AND(B303="Allocation",F303="Savings &amp; Investment",OR(AND(D303&lt;&gt;"",E303="",COUNTIFS(Accounts!$A$5:$A$50,D303,Accounts!$D$5:$D$50,"Asset")=1),AND(D303="",E303&lt;&gt;"",COUNTIFS(Accounts!$A$5:$A$50,E303,Accounts!$D$5:$D$50,"Asset")=1))),AND(B303="Adjustment",F303="",OR(AND(D303&lt;&gt;"",E303="",COUNTIF(Accounts!$A$5:$A$50,D303)=1),AND(D303="",E303&lt;&gt;"",COUNTIF(Accounts!$A$5:$A$50,E303)=1)))),"OK","CHECK: Type / account / category combination")))</f>
        <v/>
      </c>
    </row>
    <row r="304" spans="1:9">
      <c r="A304" s="56"/>
      <c r="C304" s="57"/>
      <c r="I304" s="13" t="str">
        <f>IF(COUNTA(A304:H304)=0,"",IF(OR(A304="",B304="",C304="",C304&lt;=0),"CHECK: Date, Type and positive Amount required",IF(OR(AND(B304="Income",D304="",E304&lt;&gt;"",F304&lt;&gt;"",COUNTIFS(Accounts!$A$5:$A$50,E304,Accounts!$D$5:$D$50,"Asset")=1,COUNTIFS(Categories!$A$5:$A$100,F304,Categories!$C$5:$C$100,"Income")=1),AND(B304="Expense",D304&lt;&gt;"",E304="",F304&lt;&gt;"",COUNTIF(Accounts!$A$5:$A$50,D304)=1,COUNTIFS(Categories!$A$5:$A$100,F304,Categories!$C$5:$C$100,"Expense")=1),AND(B304="Refund",D304="",E304&lt;&gt;"",F304&lt;&gt;"",COUNTIF(Accounts!$A$5:$A$50,E304)=1,COUNTIFS(Categories!$A$5:$A$100,F304,Categories!$C$5:$C$100,"Expense")=1),AND(B304="Transfer",D304&lt;&gt;"",E304&lt;&gt;"",D304&lt;&gt;E304,F304="",COUNTIF(Accounts!$A$5:$A$50,D304)=1,COUNTIF(Accounts!$A$5:$A$50,E304)=1),AND(B304="Allocation",F304="Savings &amp; Investment",OR(AND(D304&lt;&gt;"",E304="",COUNTIFS(Accounts!$A$5:$A$50,D304,Accounts!$D$5:$D$50,"Asset")=1),AND(D304="",E304&lt;&gt;"",COUNTIFS(Accounts!$A$5:$A$50,E304,Accounts!$D$5:$D$50,"Asset")=1))),AND(B304="Adjustment",F304="",OR(AND(D304&lt;&gt;"",E304="",COUNTIF(Accounts!$A$5:$A$50,D304)=1),AND(D304="",E304&lt;&gt;"",COUNTIF(Accounts!$A$5:$A$50,E304)=1)))),"OK","CHECK: Type / account / category combination")))</f>
        <v/>
      </c>
    </row>
    <row r="305" spans="1:9">
      <c r="A305" s="56"/>
      <c r="C305" s="57"/>
      <c r="I305" s="13" t="str">
        <f>IF(COUNTA(A305:H305)=0,"",IF(OR(A305="",B305="",C305="",C305&lt;=0),"CHECK: Date, Type and positive Amount required",IF(OR(AND(B305="Income",D305="",E305&lt;&gt;"",F305&lt;&gt;"",COUNTIFS(Accounts!$A$5:$A$50,E305,Accounts!$D$5:$D$50,"Asset")=1,COUNTIFS(Categories!$A$5:$A$100,F305,Categories!$C$5:$C$100,"Income")=1),AND(B305="Expense",D305&lt;&gt;"",E305="",F305&lt;&gt;"",COUNTIF(Accounts!$A$5:$A$50,D305)=1,COUNTIFS(Categories!$A$5:$A$100,F305,Categories!$C$5:$C$100,"Expense")=1),AND(B305="Refund",D305="",E305&lt;&gt;"",F305&lt;&gt;"",COUNTIF(Accounts!$A$5:$A$50,E305)=1,COUNTIFS(Categories!$A$5:$A$100,F305,Categories!$C$5:$C$100,"Expense")=1),AND(B305="Transfer",D305&lt;&gt;"",E305&lt;&gt;"",D305&lt;&gt;E305,F305="",COUNTIF(Accounts!$A$5:$A$50,D305)=1,COUNTIF(Accounts!$A$5:$A$50,E305)=1),AND(B305="Allocation",F305="Savings &amp; Investment",OR(AND(D305&lt;&gt;"",E305="",COUNTIFS(Accounts!$A$5:$A$50,D305,Accounts!$D$5:$D$50,"Asset")=1),AND(D305="",E305&lt;&gt;"",COUNTIFS(Accounts!$A$5:$A$50,E305,Accounts!$D$5:$D$50,"Asset")=1))),AND(B305="Adjustment",F305="",OR(AND(D305&lt;&gt;"",E305="",COUNTIF(Accounts!$A$5:$A$50,D305)=1),AND(D305="",E305&lt;&gt;"",COUNTIF(Accounts!$A$5:$A$50,E305)=1)))),"OK","CHECK: Type / account / category combination")))</f>
        <v/>
      </c>
    </row>
    <row r="306" spans="1:9">
      <c r="A306" s="56"/>
      <c r="C306" s="57"/>
      <c r="I306" s="13" t="str">
        <f>IF(COUNTA(A306:H306)=0,"",IF(OR(A306="",B306="",C306="",C306&lt;=0),"CHECK: Date, Type and positive Amount required",IF(OR(AND(B306="Income",D306="",E306&lt;&gt;"",F306&lt;&gt;"",COUNTIFS(Accounts!$A$5:$A$50,E306,Accounts!$D$5:$D$50,"Asset")=1,COUNTIFS(Categories!$A$5:$A$100,F306,Categories!$C$5:$C$100,"Income")=1),AND(B306="Expense",D306&lt;&gt;"",E306="",F306&lt;&gt;"",COUNTIF(Accounts!$A$5:$A$50,D306)=1,COUNTIFS(Categories!$A$5:$A$100,F306,Categories!$C$5:$C$100,"Expense")=1),AND(B306="Refund",D306="",E306&lt;&gt;"",F306&lt;&gt;"",COUNTIF(Accounts!$A$5:$A$50,E306)=1,COUNTIFS(Categories!$A$5:$A$100,F306,Categories!$C$5:$C$100,"Expense")=1),AND(B306="Transfer",D306&lt;&gt;"",E306&lt;&gt;"",D306&lt;&gt;E306,F306="",COUNTIF(Accounts!$A$5:$A$50,D306)=1,COUNTIF(Accounts!$A$5:$A$50,E306)=1),AND(B306="Allocation",F306="Savings &amp; Investment",OR(AND(D306&lt;&gt;"",E306="",COUNTIFS(Accounts!$A$5:$A$50,D306,Accounts!$D$5:$D$50,"Asset")=1),AND(D306="",E306&lt;&gt;"",COUNTIFS(Accounts!$A$5:$A$50,E306,Accounts!$D$5:$D$50,"Asset")=1))),AND(B306="Adjustment",F306="",OR(AND(D306&lt;&gt;"",E306="",COUNTIF(Accounts!$A$5:$A$50,D306)=1),AND(D306="",E306&lt;&gt;"",COUNTIF(Accounts!$A$5:$A$50,E306)=1)))),"OK","CHECK: Type / account / category combination")))</f>
        <v/>
      </c>
    </row>
    <row r="307" spans="1:9">
      <c r="A307" s="56"/>
      <c r="C307" s="57"/>
      <c r="I307" s="13" t="str">
        <f>IF(COUNTA(A307:H307)=0,"",IF(OR(A307="",B307="",C307="",C307&lt;=0),"CHECK: Date, Type and positive Amount required",IF(OR(AND(B307="Income",D307="",E307&lt;&gt;"",F307&lt;&gt;"",COUNTIFS(Accounts!$A$5:$A$50,E307,Accounts!$D$5:$D$50,"Asset")=1,COUNTIFS(Categories!$A$5:$A$100,F307,Categories!$C$5:$C$100,"Income")=1),AND(B307="Expense",D307&lt;&gt;"",E307="",F307&lt;&gt;"",COUNTIF(Accounts!$A$5:$A$50,D307)=1,COUNTIFS(Categories!$A$5:$A$100,F307,Categories!$C$5:$C$100,"Expense")=1),AND(B307="Refund",D307="",E307&lt;&gt;"",F307&lt;&gt;"",COUNTIF(Accounts!$A$5:$A$50,E307)=1,COUNTIFS(Categories!$A$5:$A$100,F307,Categories!$C$5:$C$100,"Expense")=1),AND(B307="Transfer",D307&lt;&gt;"",E307&lt;&gt;"",D307&lt;&gt;E307,F307="",COUNTIF(Accounts!$A$5:$A$50,D307)=1,COUNTIF(Accounts!$A$5:$A$50,E307)=1),AND(B307="Allocation",F307="Savings &amp; Investment",OR(AND(D307&lt;&gt;"",E307="",COUNTIFS(Accounts!$A$5:$A$50,D307,Accounts!$D$5:$D$50,"Asset")=1),AND(D307="",E307&lt;&gt;"",COUNTIFS(Accounts!$A$5:$A$50,E307,Accounts!$D$5:$D$50,"Asset")=1))),AND(B307="Adjustment",F307="",OR(AND(D307&lt;&gt;"",E307="",COUNTIF(Accounts!$A$5:$A$50,D307)=1),AND(D307="",E307&lt;&gt;"",COUNTIF(Accounts!$A$5:$A$50,E307)=1)))),"OK","CHECK: Type / account / category combination")))</f>
        <v/>
      </c>
    </row>
    <row r="308" spans="1:9">
      <c r="A308" s="56"/>
      <c r="C308" s="57"/>
      <c r="I308" s="13" t="str">
        <f>IF(COUNTA(A308:H308)=0,"",IF(OR(A308="",B308="",C308="",C308&lt;=0),"CHECK: Date, Type and positive Amount required",IF(OR(AND(B308="Income",D308="",E308&lt;&gt;"",F308&lt;&gt;"",COUNTIFS(Accounts!$A$5:$A$50,E308,Accounts!$D$5:$D$50,"Asset")=1,COUNTIFS(Categories!$A$5:$A$100,F308,Categories!$C$5:$C$100,"Income")=1),AND(B308="Expense",D308&lt;&gt;"",E308="",F308&lt;&gt;"",COUNTIF(Accounts!$A$5:$A$50,D308)=1,COUNTIFS(Categories!$A$5:$A$100,F308,Categories!$C$5:$C$100,"Expense")=1),AND(B308="Refund",D308="",E308&lt;&gt;"",F308&lt;&gt;"",COUNTIF(Accounts!$A$5:$A$50,E308)=1,COUNTIFS(Categories!$A$5:$A$100,F308,Categories!$C$5:$C$100,"Expense")=1),AND(B308="Transfer",D308&lt;&gt;"",E308&lt;&gt;"",D308&lt;&gt;E308,F308="",COUNTIF(Accounts!$A$5:$A$50,D308)=1,COUNTIF(Accounts!$A$5:$A$50,E308)=1),AND(B308="Allocation",F308="Savings &amp; Investment",OR(AND(D308&lt;&gt;"",E308="",COUNTIFS(Accounts!$A$5:$A$50,D308,Accounts!$D$5:$D$50,"Asset")=1),AND(D308="",E308&lt;&gt;"",COUNTIFS(Accounts!$A$5:$A$50,E308,Accounts!$D$5:$D$50,"Asset")=1))),AND(B308="Adjustment",F308="",OR(AND(D308&lt;&gt;"",E308="",COUNTIF(Accounts!$A$5:$A$50,D308)=1),AND(D308="",E308&lt;&gt;"",COUNTIF(Accounts!$A$5:$A$50,E308)=1)))),"OK","CHECK: Type / account / category combination")))</f>
        <v/>
      </c>
    </row>
    <row r="309" spans="1:9">
      <c r="A309" s="56"/>
      <c r="C309" s="57"/>
      <c r="I309" s="13" t="str">
        <f>IF(COUNTA(A309:H309)=0,"",IF(OR(A309="",B309="",C309="",C309&lt;=0),"CHECK: Date, Type and positive Amount required",IF(OR(AND(B309="Income",D309="",E309&lt;&gt;"",F309&lt;&gt;"",COUNTIFS(Accounts!$A$5:$A$50,E309,Accounts!$D$5:$D$50,"Asset")=1,COUNTIFS(Categories!$A$5:$A$100,F309,Categories!$C$5:$C$100,"Income")=1),AND(B309="Expense",D309&lt;&gt;"",E309="",F309&lt;&gt;"",COUNTIF(Accounts!$A$5:$A$50,D309)=1,COUNTIFS(Categories!$A$5:$A$100,F309,Categories!$C$5:$C$100,"Expense")=1),AND(B309="Refund",D309="",E309&lt;&gt;"",F309&lt;&gt;"",COUNTIF(Accounts!$A$5:$A$50,E309)=1,COUNTIFS(Categories!$A$5:$A$100,F309,Categories!$C$5:$C$100,"Expense")=1),AND(B309="Transfer",D309&lt;&gt;"",E309&lt;&gt;"",D309&lt;&gt;E309,F309="",COUNTIF(Accounts!$A$5:$A$50,D309)=1,COUNTIF(Accounts!$A$5:$A$50,E309)=1),AND(B309="Allocation",F309="Savings &amp; Investment",OR(AND(D309&lt;&gt;"",E309="",COUNTIFS(Accounts!$A$5:$A$50,D309,Accounts!$D$5:$D$50,"Asset")=1),AND(D309="",E309&lt;&gt;"",COUNTIFS(Accounts!$A$5:$A$50,E309,Accounts!$D$5:$D$50,"Asset")=1))),AND(B309="Adjustment",F309="",OR(AND(D309&lt;&gt;"",E309="",COUNTIF(Accounts!$A$5:$A$50,D309)=1),AND(D309="",E309&lt;&gt;"",COUNTIF(Accounts!$A$5:$A$50,E309)=1)))),"OK","CHECK: Type / account / category combination")))</f>
        <v/>
      </c>
    </row>
    <row r="310" spans="1:9">
      <c r="A310" s="56"/>
      <c r="C310" s="57"/>
      <c r="I310" s="13" t="str">
        <f>IF(COUNTA(A310:H310)=0,"",IF(OR(A310="",B310="",C310="",C310&lt;=0),"CHECK: Date, Type and positive Amount required",IF(OR(AND(B310="Income",D310="",E310&lt;&gt;"",F310&lt;&gt;"",COUNTIFS(Accounts!$A$5:$A$50,E310,Accounts!$D$5:$D$50,"Asset")=1,COUNTIFS(Categories!$A$5:$A$100,F310,Categories!$C$5:$C$100,"Income")=1),AND(B310="Expense",D310&lt;&gt;"",E310="",F310&lt;&gt;"",COUNTIF(Accounts!$A$5:$A$50,D310)=1,COUNTIFS(Categories!$A$5:$A$100,F310,Categories!$C$5:$C$100,"Expense")=1),AND(B310="Refund",D310="",E310&lt;&gt;"",F310&lt;&gt;"",COUNTIF(Accounts!$A$5:$A$50,E310)=1,COUNTIFS(Categories!$A$5:$A$100,F310,Categories!$C$5:$C$100,"Expense")=1),AND(B310="Transfer",D310&lt;&gt;"",E310&lt;&gt;"",D310&lt;&gt;E310,F310="",COUNTIF(Accounts!$A$5:$A$50,D310)=1,COUNTIF(Accounts!$A$5:$A$50,E310)=1),AND(B310="Allocation",F310="Savings &amp; Investment",OR(AND(D310&lt;&gt;"",E310="",COUNTIFS(Accounts!$A$5:$A$50,D310,Accounts!$D$5:$D$50,"Asset")=1),AND(D310="",E310&lt;&gt;"",COUNTIFS(Accounts!$A$5:$A$50,E310,Accounts!$D$5:$D$50,"Asset")=1))),AND(B310="Adjustment",F310="",OR(AND(D310&lt;&gt;"",E310="",COUNTIF(Accounts!$A$5:$A$50,D310)=1),AND(D310="",E310&lt;&gt;"",COUNTIF(Accounts!$A$5:$A$50,E310)=1)))),"OK","CHECK: Type / account / category combination")))</f>
        <v/>
      </c>
    </row>
    <row r="311" spans="1:9">
      <c r="A311" s="56"/>
      <c r="C311" s="57"/>
      <c r="I311" s="13" t="str">
        <f>IF(COUNTA(A311:H311)=0,"",IF(OR(A311="",B311="",C311="",C311&lt;=0),"CHECK: Date, Type and positive Amount required",IF(OR(AND(B311="Income",D311="",E311&lt;&gt;"",F311&lt;&gt;"",COUNTIFS(Accounts!$A$5:$A$50,E311,Accounts!$D$5:$D$50,"Asset")=1,COUNTIFS(Categories!$A$5:$A$100,F311,Categories!$C$5:$C$100,"Income")=1),AND(B311="Expense",D311&lt;&gt;"",E311="",F311&lt;&gt;"",COUNTIF(Accounts!$A$5:$A$50,D311)=1,COUNTIFS(Categories!$A$5:$A$100,F311,Categories!$C$5:$C$100,"Expense")=1),AND(B311="Refund",D311="",E311&lt;&gt;"",F311&lt;&gt;"",COUNTIF(Accounts!$A$5:$A$50,E311)=1,COUNTIFS(Categories!$A$5:$A$100,F311,Categories!$C$5:$C$100,"Expense")=1),AND(B311="Transfer",D311&lt;&gt;"",E311&lt;&gt;"",D311&lt;&gt;E311,F311="",COUNTIF(Accounts!$A$5:$A$50,D311)=1,COUNTIF(Accounts!$A$5:$A$50,E311)=1),AND(B311="Allocation",F311="Savings &amp; Investment",OR(AND(D311&lt;&gt;"",E311="",COUNTIFS(Accounts!$A$5:$A$50,D311,Accounts!$D$5:$D$50,"Asset")=1),AND(D311="",E311&lt;&gt;"",COUNTIFS(Accounts!$A$5:$A$50,E311,Accounts!$D$5:$D$50,"Asset")=1))),AND(B311="Adjustment",F311="",OR(AND(D311&lt;&gt;"",E311="",COUNTIF(Accounts!$A$5:$A$50,D311)=1),AND(D311="",E311&lt;&gt;"",COUNTIF(Accounts!$A$5:$A$50,E311)=1)))),"OK","CHECK: Type / account / category combination")))</f>
        <v/>
      </c>
    </row>
    <row r="312" spans="1:9">
      <c r="A312" s="56"/>
      <c r="C312" s="57"/>
      <c r="I312" s="13" t="str">
        <f>IF(COUNTA(A312:H312)=0,"",IF(OR(A312="",B312="",C312="",C312&lt;=0),"CHECK: Date, Type and positive Amount required",IF(OR(AND(B312="Income",D312="",E312&lt;&gt;"",F312&lt;&gt;"",COUNTIFS(Accounts!$A$5:$A$50,E312,Accounts!$D$5:$D$50,"Asset")=1,COUNTIFS(Categories!$A$5:$A$100,F312,Categories!$C$5:$C$100,"Income")=1),AND(B312="Expense",D312&lt;&gt;"",E312="",F312&lt;&gt;"",COUNTIF(Accounts!$A$5:$A$50,D312)=1,COUNTIFS(Categories!$A$5:$A$100,F312,Categories!$C$5:$C$100,"Expense")=1),AND(B312="Refund",D312="",E312&lt;&gt;"",F312&lt;&gt;"",COUNTIF(Accounts!$A$5:$A$50,E312)=1,COUNTIFS(Categories!$A$5:$A$100,F312,Categories!$C$5:$C$100,"Expense")=1),AND(B312="Transfer",D312&lt;&gt;"",E312&lt;&gt;"",D312&lt;&gt;E312,F312="",COUNTIF(Accounts!$A$5:$A$50,D312)=1,COUNTIF(Accounts!$A$5:$A$50,E312)=1),AND(B312="Allocation",F312="Savings &amp; Investment",OR(AND(D312&lt;&gt;"",E312="",COUNTIFS(Accounts!$A$5:$A$50,D312,Accounts!$D$5:$D$50,"Asset")=1),AND(D312="",E312&lt;&gt;"",COUNTIFS(Accounts!$A$5:$A$50,E312,Accounts!$D$5:$D$50,"Asset")=1))),AND(B312="Adjustment",F312="",OR(AND(D312&lt;&gt;"",E312="",COUNTIF(Accounts!$A$5:$A$50,D312)=1),AND(D312="",E312&lt;&gt;"",COUNTIF(Accounts!$A$5:$A$50,E312)=1)))),"OK","CHECK: Type / account / category combination")))</f>
        <v/>
      </c>
    </row>
    <row r="313" spans="1:9">
      <c r="A313" s="56"/>
      <c r="C313" s="57"/>
      <c r="I313" s="13" t="str">
        <f>IF(COUNTA(A313:H313)=0,"",IF(OR(A313="",B313="",C313="",C313&lt;=0),"CHECK: Date, Type and positive Amount required",IF(OR(AND(B313="Income",D313="",E313&lt;&gt;"",F313&lt;&gt;"",COUNTIFS(Accounts!$A$5:$A$50,E313,Accounts!$D$5:$D$50,"Asset")=1,COUNTIFS(Categories!$A$5:$A$100,F313,Categories!$C$5:$C$100,"Income")=1),AND(B313="Expense",D313&lt;&gt;"",E313="",F313&lt;&gt;"",COUNTIF(Accounts!$A$5:$A$50,D313)=1,COUNTIFS(Categories!$A$5:$A$100,F313,Categories!$C$5:$C$100,"Expense")=1),AND(B313="Refund",D313="",E313&lt;&gt;"",F313&lt;&gt;"",COUNTIF(Accounts!$A$5:$A$50,E313)=1,COUNTIFS(Categories!$A$5:$A$100,F313,Categories!$C$5:$C$100,"Expense")=1),AND(B313="Transfer",D313&lt;&gt;"",E313&lt;&gt;"",D313&lt;&gt;E313,F313="",COUNTIF(Accounts!$A$5:$A$50,D313)=1,COUNTIF(Accounts!$A$5:$A$50,E313)=1),AND(B313="Allocation",F313="Savings &amp; Investment",OR(AND(D313&lt;&gt;"",E313="",COUNTIFS(Accounts!$A$5:$A$50,D313,Accounts!$D$5:$D$50,"Asset")=1),AND(D313="",E313&lt;&gt;"",COUNTIFS(Accounts!$A$5:$A$50,E313,Accounts!$D$5:$D$50,"Asset")=1))),AND(B313="Adjustment",F313="",OR(AND(D313&lt;&gt;"",E313="",COUNTIF(Accounts!$A$5:$A$50,D313)=1),AND(D313="",E313&lt;&gt;"",COUNTIF(Accounts!$A$5:$A$50,E313)=1)))),"OK","CHECK: Type / account / category combination")))</f>
        <v/>
      </c>
    </row>
    <row r="314" spans="1:9">
      <c r="A314" s="56"/>
      <c r="C314" s="57"/>
      <c r="I314" s="13" t="str">
        <f>IF(COUNTA(A314:H314)=0,"",IF(OR(A314="",B314="",C314="",C314&lt;=0),"CHECK: Date, Type and positive Amount required",IF(OR(AND(B314="Income",D314="",E314&lt;&gt;"",F314&lt;&gt;"",COUNTIFS(Accounts!$A$5:$A$50,E314,Accounts!$D$5:$D$50,"Asset")=1,COUNTIFS(Categories!$A$5:$A$100,F314,Categories!$C$5:$C$100,"Income")=1),AND(B314="Expense",D314&lt;&gt;"",E314="",F314&lt;&gt;"",COUNTIF(Accounts!$A$5:$A$50,D314)=1,COUNTIFS(Categories!$A$5:$A$100,F314,Categories!$C$5:$C$100,"Expense")=1),AND(B314="Refund",D314="",E314&lt;&gt;"",F314&lt;&gt;"",COUNTIF(Accounts!$A$5:$A$50,E314)=1,COUNTIFS(Categories!$A$5:$A$100,F314,Categories!$C$5:$C$100,"Expense")=1),AND(B314="Transfer",D314&lt;&gt;"",E314&lt;&gt;"",D314&lt;&gt;E314,F314="",COUNTIF(Accounts!$A$5:$A$50,D314)=1,COUNTIF(Accounts!$A$5:$A$50,E314)=1),AND(B314="Allocation",F314="Savings &amp; Investment",OR(AND(D314&lt;&gt;"",E314="",COUNTIFS(Accounts!$A$5:$A$50,D314,Accounts!$D$5:$D$50,"Asset")=1),AND(D314="",E314&lt;&gt;"",COUNTIFS(Accounts!$A$5:$A$50,E314,Accounts!$D$5:$D$50,"Asset")=1))),AND(B314="Adjustment",F314="",OR(AND(D314&lt;&gt;"",E314="",COUNTIF(Accounts!$A$5:$A$50,D314)=1),AND(D314="",E314&lt;&gt;"",COUNTIF(Accounts!$A$5:$A$50,E314)=1)))),"OK","CHECK: Type / account / category combination")))</f>
        <v/>
      </c>
    </row>
    <row r="315" spans="1:9">
      <c r="A315" s="56"/>
      <c r="C315" s="57"/>
      <c r="I315" s="13" t="str">
        <f>IF(COUNTA(A315:H315)=0,"",IF(OR(A315="",B315="",C315="",C315&lt;=0),"CHECK: Date, Type and positive Amount required",IF(OR(AND(B315="Income",D315="",E315&lt;&gt;"",F315&lt;&gt;"",COUNTIFS(Accounts!$A$5:$A$50,E315,Accounts!$D$5:$D$50,"Asset")=1,COUNTIFS(Categories!$A$5:$A$100,F315,Categories!$C$5:$C$100,"Income")=1),AND(B315="Expense",D315&lt;&gt;"",E315="",F315&lt;&gt;"",COUNTIF(Accounts!$A$5:$A$50,D315)=1,COUNTIFS(Categories!$A$5:$A$100,F315,Categories!$C$5:$C$100,"Expense")=1),AND(B315="Refund",D315="",E315&lt;&gt;"",F315&lt;&gt;"",COUNTIF(Accounts!$A$5:$A$50,E315)=1,COUNTIFS(Categories!$A$5:$A$100,F315,Categories!$C$5:$C$100,"Expense")=1),AND(B315="Transfer",D315&lt;&gt;"",E315&lt;&gt;"",D315&lt;&gt;E315,F315="",COUNTIF(Accounts!$A$5:$A$50,D315)=1,COUNTIF(Accounts!$A$5:$A$50,E315)=1),AND(B315="Allocation",F315="Savings &amp; Investment",OR(AND(D315&lt;&gt;"",E315="",COUNTIFS(Accounts!$A$5:$A$50,D315,Accounts!$D$5:$D$50,"Asset")=1),AND(D315="",E315&lt;&gt;"",COUNTIFS(Accounts!$A$5:$A$50,E315,Accounts!$D$5:$D$50,"Asset")=1))),AND(B315="Adjustment",F315="",OR(AND(D315&lt;&gt;"",E315="",COUNTIF(Accounts!$A$5:$A$50,D315)=1),AND(D315="",E315&lt;&gt;"",COUNTIF(Accounts!$A$5:$A$50,E315)=1)))),"OK","CHECK: Type / account / category combination")))</f>
        <v/>
      </c>
    </row>
    <row r="316" spans="1:9">
      <c r="A316" s="56"/>
      <c r="C316" s="57"/>
      <c r="I316" s="13" t="str">
        <f>IF(COUNTA(A316:H316)=0,"",IF(OR(A316="",B316="",C316="",C316&lt;=0),"CHECK: Date, Type and positive Amount required",IF(OR(AND(B316="Income",D316="",E316&lt;&gt;"",F316&lt;&gt;"",COUNTIFS(Accounts!$A$5:$A$50,E316,Accounts!$D$5:$D$50,"Asset")=1,COUNTIFS(Categories!$A$5:$A$100,F316,Categories!$C$5:$C$100,"Income")=1),AND(B316="Expense",D316&lt;&gt;"",E316="",F316&lt;&gt;"",COUNTIF(Accounts!$A$5:$A$50,D316)=1,COUNTIFS(Categories!$A$5:$A$100,F316,Categories!$C$5:$C$100,"Expense")=1),AND(B316="Refund",D316="",E316&lt;&gt;"",F316&lt;&gt;"",COUNTIF(Accounts!$A$5:$A$50,E316)=1,COUNTIFS(Categories!$A$5:$A$100,F316,Categories!$C$5:$C$100,"Expense")=1),AND(B316="Transfer",D316&lt;&gt;"",E316&lt;&gt;"",D316&lt;&gt;E316,F316="",COUNTIF(Accounts!$A$5:$A$50,D316)=1,COUNTIF(Accounts!$A$5:$A$50,E316)=1),AND(B316="Allocation",F316="Savings &amp; Investment",OR(AND(D316&lt;&gt;"",E316="",COUNTIFS(Accounts!$A$5:$A$50,D316,Accounts!$D$5:$D$50,"Asset")=1),AND(D316="",E316&lt;&gt;"",COUNTIFS(Accounts!$A$5:$A$50,E316,Accounts!$D$5:$D$50,"Asset")=1))),AND(B316="Adjustment",F316="",OR(AND(D316&lt;&gt;"",E316="",COUNTIF(Accounts!$A$5:$A$50,D316)=1),AND(D316="",E316&lt;&gt;"",COUNTIF(Accounts!$A$5:$A$50,E316)=1)))),"OK","CHECK: Type / account / category combination")))</f>
        <v/>
      </c>
    </row>
    <row r="317" spans="1:9">
      <c r="A317" s="56"/>
      <c r="C317" s="57"/>
      <c r="I317" s="13" t="str">
        <f>IF(COUNTA(A317:H317)=0,"",IF(OR(A317="",B317="",C317="",C317&lt;=0),"CHECK: Date, Type and positive Amount required",IF(OR(AND(B317="Income",D317="",E317&lt;&gt;"",F317&lt;&gt;"",COUNTIFS(Accounts!$A$5:$A$50,E317,Accounts!$D$5:$D$50,"Asset")=1,COUNTIFS(Categories!$A$5:$A$100,F317,Categories!$C$5:$C$100,"Income")=1),AND(B317="Expense",D317&lt;&gt;"",E317="",F317&lt;&gt;"",COUNTIF(Accounts!$A$5:$A$50,D317)=1,COUNTIFS(Categories!$A$5:$A$100,F317,Categories!$C$5:$C$100,"Expense")=1),AND(B317="Refund",D317="",E317&lt;&gt;"",F317&lt;&gt;"",COUNTIF(Accounts!$A$5:$A$50,E317)=1,COUNTIFS(Categories!$A$5:$A$100,F317,Categories!$C$5:$C$100,"Expense")=1),AND(B317="Transfer",D317&lt;&gt;"",E317&lt;&gt;"",D317&lt;&gt;E317,F317="",COUNTIF(Accounts!$A$5:$A$50,D317)=1,COUNTIF(Accounts!$A$5:$A$50,E317)=1),AND(B317="Allocation",F317="Savings &amp; Investment",OR(AND(D317&lt;&gt;"",E317="",COUNTIFS(Accounts!$A$5:$A$50,D317,Accounts!$D$5:$D$50,"Asset")=1),AND(D317="",E317&lt;&gt;"",COUNTIFS(Accounts!$A$5:$A$50,E317,Accounts!$D$5:$D$50,"Asset")=1))),AND(B317="Adjustment",F317="",OR(AND(D317&lt;&gt;"",E317="",COUNTIF(Accounts!$A$5:$A$50,D317)=1),AND(D317="",E317&lt;&gt;"",COUNTIF(Accounts!$A$5:$A$50,E317)=1)))),"OK","CHECK: Type / account / category combination")))</f>
        <v/>
      </c>
    </row>
    <row r="318" spans="1:9">
      <c r="A318" s="56"/>
      <c r="C318" s="57"/>
      <c r="I318" s="13" t="str">
        <f>IF(COUNTA(A318:H318)=0,"",IF(OR(A318="",B318="",C318="",C318&lt;=0),"CHECK: Date, Type and positive Amount required",IF(OR(AND(B318="Income",D318="",E318&lt;&gt;"",F318&lt;&gt;"",COUNTIFS(Accounts!$A$5:$A$50,E318,Accounts!$D$5:$D$50,"Asset")=1,COUNTIFS(Categories!$A$5:$A$100,F318,Categories!$C$5:$C$100,"Income")=1),AND(B318="Expense",D318&lt;&gt;"",E318="",F318&lt;&gt;"",COUNTIF(Accounts!$A$5:$A$50,D318)=1,COUNTIFS(Categories!$A$5:$A$100,F318,Categories!$C$5:$C$100,"Expense")=1),AND(B318="Refund",D318="",E318&lt;&gt;"",F318&lt;&gt;"",COUNTIF(Accounts!$A$5:$A$50,E318)=1,COUNTIFS(Categories!$A$5:$A$100,F318,Categories!$C$5:$C$100,"Expense")=1),AND(B318="Transfer",D318&lt;&gt;"",E318&lt;&gt;"",D318&lt;&gt;E318,F318="",COUNTIF(Accounts!$A$5:$A$50,D318)=1,COUNTIF(Accounts!$A$5:$A$50,E318)=1),AND(B318="Allocation",F318="Savings &amp; Investment",OR(AND(D318&lt;&gt;"",E318="",COUNTIFS(Accounts!$A$5:$A$50,D318,Accounts!$D$5:$D$50,"Asset")=1),AND(D318="",E318&lt;&gt;"",COUNTIFS(Accounts!$A$5:$A$50,E318,Accounts!$D$5:$D$50,"Asset")=1))),AND(B318="Adjustment",F318="",OR(AND(D318&lt;&gt;"",E318="",COUNTIF(Accounts!$A$5:$A$50,D318)=1),AND(D318="",E318&lt;&gt;"",COUNTIF(Accounts!$A$5:$A$50,E318)=1)))),"OK","CHECK: Type / account / category combination")))</f>
        <v/>
      </c>
    </row>
    <row r="319" spans="1:9">
      <c r="A319" s="56"/>
      <c r="C319" s="57"/>
      <c r="I319" s="13" t="str">
        <f>IF(COUNTA(A319:H319)=0,"",IF(OR(A319="",B319="",C319="",C319&lt;=0),"CHECK: Date, Type and positive Amount required",IF(OR(AND(B319="Income",D319="",E319&lt;&gt;"",F319&lt;&gt;"",COUNTIFS(Accounts!$A$5:$A$50,E319,Accounts!$D$5:$D$50,"Asset")=1,COUNTIFS(Categories!$A$5:$A$100,F319,Categories!$C$5:$C$100,"Income")=1),AND(B319="Expense",D319&lt;&gt;"",E319="",F319&lt;&gt;"",COUNTIF(Accounts!$A$5:$A$50,D319)=1,COUNTIFS(Categories!$A$5:$A$100,F319,Categories!$C$5:$C$100,"Expense")=1),AND(B319="Refund",D319="",E319&lt;&gt;"",F319&lt;&gt;"",COUNTIF(Accounts!$A$5:$A$50,E319)=1,COUNTIFS(Categories!$A$5:$A$100,F319,Categories!$C$5:$C$100,"Expense")=1),AND(B319="Transfer",D319&lt;&gt;"",E319&lt;&gt;"",D319&lt;&gt;E319,F319="",COUNTIF(Accounts!$A$5:$A$50,D319)=1,COUNTIF(Accounts!$A$5:$A$50,E319)=1),AND(B319="Allocation",F319="Savings &amp; Investment",OR(AND(D319&lt;&gt;"",E319="",COUNTIFS(Accounts!$A$5:$A$50,D319,Accounts!$D$5:$D$50,"Asset")=1),AND(D319="",E319&lt;&gt;"",COUNTIFS(Accounts!$A$5:$A$50,E319,Accounts!$D$5:$D$50,"Asset")=1))),AND(B319="Adjustment",F319="",OR(AND(D319&lt;&gt;"",E319="",COUNTIF(Accounts!$A$5:$A$50,D319)=1),AND(D319="",E319&lt;&gt;"",COUNTIF(Accounts!$A$5:$A$50,E319)=1)))),"OK","CHECK: Type / account / category combination")))</f>
        <v/>
      </c>
    </row>
    <row r="320" spans="1:9">
      <c r="A320" s="56"/>
      <c r="C320" s="57"/>
      <c r="I320" s="13" t="str">
        <f>IF(COUNTA(A320:H320)=0,"",IF(OR(A320="",B320="",C320="",C320&lt;=0),"CHECK: Date, Type and positive Amount required",IF(OR(AND(B320="Income",D320="",E320&lt;&gt;"",F320&lt;&gt;"",COUNTIFS(Accounts!$A$5:$A$50,E320,Accounts!$D$5:$D$50,"Asset")=1,COUNTIFS(Categories!$A$5:$A$100,F320,Categories!$C$5:$C$100,"Income")=1),AND(B320="Expense",D320&lt;&gt;"",E320="",F320&lt;&gt;"",COUNTIF(Accounts!$A$5:$A$50,D320)=1,COUNTIFS(Categories!$A$5:$A$100,F320,Categories!$C$5:$C$100,"Expense")=1),AND(B320="Refund",D320="",E320&lt;&gt;"",F320&lt;&gt;"",COUNTIF(Accounts!$A$5:$A$50,E320)=1,COUNTIFS(Categories!$A$5:$A$100,F320,Categories!$C$5:$C$100,"Expense")=1),AND(B320="Transfer",D320&lt;&gt;"",E320&lt;&gt;"",D320&lt;&gt;E320,F320="",COUNTIF(Accounts!$A$5:$A$50,D320)=1,COUNTIF(Accounts!$A$5:$A$50,E320)=1),AND(B320="Allocation",F320="Savings &amp; Investment",OR(AND(D320&lt;&gt;"",E320="",COUNTIFS(Accounts!$A$5:$A$50,D320,Accounts!$D$5:$D$50,"Asset")=1),AND(D320="",E320&lt;&gt;"",COUNTIFS(Accounts!$A$5:$A$50,E320,Accounts!$D$5:$D$50,"Asset")=1))),AND(B320="Adjustment",F320="",OR(AND(D320&lt;&gt;"",E320="",COUNTIF(Accounts!$A$5:$A$50,D320)=1),AND(D320="",E320&lt;&gt;"",COUNTIF(Accounts!$A$5:$A$50,E320)=1)))),"OK","CHECK: Type / account / category combination")))</f>
        <v/>
      </c>
    </row>
    <row r="321" spans="1:9">
      <c r="A321" s="56"/>
      <c r="C321" s="57"/>
      <c r="I321" s="13" t="str">
        <f>IF(COUNTA(A321:H321)=0,"",IF(OR(A321="",B321="",C321="",C321&lt;=0),"CHECK: Date, Type and positive Amount required",IF(OR(AND(B321="Income",D321="",E321&lt;&gt;"",F321&lt;&gt;"",COUNTIFS(Accounts!$A$5:$A$50,E321,Accounts!$D$5:$D$50,"Asset")=1,COUNTIFS(Categories!$A$5:$A$100,F321,Categories!$C$5:$C$100,"Income")=1),AND(B321="Expense",D321&lt;&gt;"",E321="",F321&lt;&gt;"",COUNTIF(Accounts!$A$5:$A$50,D321)=1,COUNTIFS(Categories!$A$5:$A$100,F321,Categories!$C$5:$C$100,"Expense")=1),AND(B321="Refund",D321="",E321&lt;&gt;"",F321&lt;&gt;"",COUNTIF(Accounts!$A$5:$A$50,E321)=1,COUNTIFS(Categories!$A$5:$A$100,F321,Categories!$C$5:$C$100,"Expense")=1),AND(B321="Transfer",D321&lt;&gt;"",E321&lt;&gt;"",D321&lt;&gt;E321,F321="",COUNTIF(Accounts!$A$5:$A$50,D321)=1,COUNTIF(Accounts!$A$5:$A$50,E321)=1),AND(B321="Allocation",F321="Savings &amp; Investment",OR(AND(D321&lt;&gt;"",E321="",COUNTIFS(Accounts!$A$5:$A$50,D321,Accounts!$D$5:$D$50,"Asset")=1),AND(D321="",E321&lt;&gt;"",COUNTIFS(Accounts!$A$5:$A$50,E321,Accounts!$D$5:$D$50,"Asset")=1))),AND(B321="Adjustment",F321="",OR(AND(D321&lt;&gt;"",E321="",COUNTIF(Accounts!$A$5:$A$50,D321)=1),AND(D321="",E321&lt;&gt;"",COUNTIF(Accounts!$A$5:$A$50,E321)=1)))),"OK","CHECK: Type / account / category combination")))</f>
        <v/>
      </c>
    </row>
    <row r="322" spans="1:9">
      <c r="A322" s="56"/>
      <c r="C322" s="57"/>
      <c r="I322" s="13" t="str">
        <f>IF(COUNTA(A322:H322)=0,"",IF(OR(A322="",B322="",C322="",C322&lt;=0),"CHECK: Date, Type and positive Amount required",IF(OR(AND(B322="Income",D322="",E322&lt;&gt;"",F322&lt;&gt;"",COUNTIFS(Accounts!$A$5:$A$50,E322,Accounts!$D$5:$D$50,"Asset")=1,COUNTIFS(Categories!$A$5:$A$100,F322,Categories!$C$5:$C$100,"Income")=1),AND(B322="Expense",D322&lt;&gt;"",E322="",F322&lt;&gt;"",COUNTIF(Accounts!$A$5:$A$50,D322)=1,COUNTIFS(Categories!$A$5:$A$100,F322,Categories!$C$5:$C$100,"Expense")=1),AND(B322="Refund",D322="",E322&lt;&gt;"",F322&lt;&gt;"",COUNTIF(Accounts!$A$5:$A$50,E322)=1,COUNTIFS(Categories!$A$5:$A$100,F322,Categories!$C$5:$C$100,"Expense")=1),AND(B322="Transfer",D322&lt;&gt;"",E322&lt;&gt;"",D322&lt;&gt;E322,F322="",COUNTIF(Accounts!$A$5:$A$50,D322)=1,COUNTIF(Accounts!$A$5:$A$50,E322)=1),AND(B322="Allocation",F322="Savings &amp; Investment",OR(AND(D322&lt;&gt;"",E322="",COUNTIFS(Accounts!$A$5:$A$50,D322,Accounts!$D$5:$D$50,"Asset")=1),AND(D322="",E322&lt;&gt;"",COUNTIFS(Accounts!$A$5:$A$50,E322,Accounts!$D$5:$D$50,"Asset")=1))),AND(B322="Adjustment",F322="",OR(AND(D322&lt;&gt;"",E322="",COUNTIF(Accounts!$A$5:$A$50,D322)=1),AND(D322="",E322&lt;&gt;"",COUNTIF(Accounts!$A$5:$A$50,E322)=1)))),"OK","CHECK: Type / account / category combination")))</f>
        <v/>
      </c>
    </row>
    <row r="323" spans="1:9">
      <c r="A323" s="56"/>
      <c r="C323" s="57"/>
      <c r="I323" s="13" t="str">
        <f>IF(COUNTA(A323:H323)=0,"",IF(OR(A323="",B323="",C323="",C323&lt;=0),"CHECK: Date, Type and positive Amount required",IF(OR(AND(B323="Income",D323="",E323&lt;&gt;"",F323&lt;&gt;"",COUNTIFS(Accounts!$A$5:$A$50,E323,Accounts!$D$5:$D$50,"Asset")=1,COUNTIFS(Categories!$A$5:$A$100,F323,Categories!$C$5:$C$100,"Income")=1),AND(B323="Expense",D323&lt;&gt;"",E323="",F323&lt;&gt;"",COUNTIF(Accounts!$A$5:$A$50,D323)=1,COUNTIFS(Categories!$A$5:$A$100,F323,Categories!$C$5:$C$100,"Expense")=1),AND(B323="Refund",D323="",E323&lt;&gt;"",F323&lt;&gt;"",COUNTIF(Accounts!$A$5:$A$50,E323)=1,COUNTIFS(Categories!$A$5:$A$100,F323,Categories!$C$5:$C$100,"Expense")=1),AND(B323="Transfer",D323&lt;&gt;"",E323&lt;&gt;"",D323&lt;&gt;E323,F323="",COUNTIF(Accounts!$A$5:$A$50,D323)=1,COUNTIF(Accounts!$A$5:$A$50,E323)=1),AND(B323="Allocation",F323="Savings &amp; Investment",OR(AND(D323&lt;&gt;"",E323="",COUNTIFS(Accounts!$A$5:$A$50,D323,Accounts!$D$5:$D$50,"Asset")=1),AND(D323="",E323&lt;&gt;"",COUNTIFS(Accounts!$A$5:$A$50,E323,Accounts!$D$5:$D$50,"Asset")=1))),AND(B323="Adjustment",F323="",OR(AND(D323&lt;&gt;"",E323="",COUNTIF(Accounts!$A$5:$A$50,D323)=1),AND(D323="",E323&lt;&gt;"",COUNTIF(Accounts!$A$5:$A$50,E323)=1)))),"OK","CHECK: Type / account / category combination")))</f>
        <v/>
      </c>
    </row>
    <row r="324" spans="1:9">
      <c r="A324" s="56"/>
      <c r="C324" s="57"/>
      <c r="I324" s="13" t="str">
        <f>IF(COUNTA(A324:H324)=0,"",IF(OR(A324="",B324="",C324="",C324&lt;=0),"CHECK: Date, Type and positive Amount required",IF(OR(AND(B324="Income",D324="",E324&lt;&gt;"",F324&lt;&gt;"",COUNTIFS(Accounts!$A$5:$A$50,E324,Accounts!$D$5:$D$50,"Asset")=1,COUNTIFS(Categories!$A$5:$A$100,F324,Categories!$C$5:$C$100,"Income")=1),AND(B324="Expense",D324&lt;&gt;"",E324="",F324&lt;&gt;"",COUNTIF(Accounts!$A$5:$A$50,D324)=1,COUNTIFS(Categories!$A$5:$A$100,F324,Categories!$C$5:$C$100,"Expense")=1),AND(B324="Refund",D324="",E324&lt;&gt;"",F324&lt;&gt;"",COUNTIF(Accounts!$A$5:$A$50,E324)=1,COUNTIFS(Categories!$A$5:$A$100,F324,Categories!$C$5:$C$100,"Expense")=1),AND(B324="Transfer",D324&lt;&gt;"",E324&lt;&gt;"",D324&lt;&gt;E324,F324="",COUNTIF(Accounts!$A$5:$A$50,D324)=1,COUNTIF(Accounts!$A$5:$A$50,E324)=1),AND(B324="Allocation",F324="Savings &amp; Investment",OR(AND(D324&lt;&gt;"",E324="",COUNTIFS(Accounts!$A$5:$A$50,D324,Accounts!$D$5:$D$50,"Asset")=1),AND(D324="",E324&lt;&gt;"",COUNTIFS(Accounts!$A$5:$A$50,E324,Accounts!$D$5:$D$50,"Asset")=1))),AND(B324="Adjustment",F324="",OR(AND(D324&lt;&gt;"",E324="",COUNTIF(Accounts!$A$5:$A$50,D324)=1),AND(D324="",E324&lt;&gt;"",COUNTIF(Accounts!$A$5:$A$50,E324)=1)))),"OK","CHECK: Type / account / category combination")))</f>
        <v/>
      </c>
    </row>
    <row r="325" spans="1:9">
      <c r="A325" s="56"/>
      <c r="C325" s="57"/>
      <c r="I325" s="13" t="str">
        <f>IF(COUNTA(A325:H325)=0,"",IF(OR(A325="",B325="",C325="",C325&lt;=0),"CHECK: Date, Type and positive Amount required",IF(OR(AND(B325="Income",D325="",E325&lt;&gt;"",F325&lt;&gt;"",COUNTIFS(Accounts!$A$5:$A$50,E325,Accounts!$D$5:$D$50,"Asset")=1,COUNTIFS(Categories!$A$5:$A$100,F325,Categories!$C$5:$C$100,"Income")=1),AND(B325="Expense",D325&lt;&gt;"",E325="",F325&lt;&gt;"",COUNTIF(Accounts!$A$5:$A$50,D325)=1,COUNTIFS(Categories!$A$5:$A$100,F325,Categories!$C$5:$C$100,"Expense")=1),AND(B325="Refund",D325="",E325&lt;&gt;"",F325&lt;&gt;"",COUNTIF(Accounts!$A$5:$A$50,E325)=1,COUNTIFS(Categories!$A$5:$A$100,F325,Categories!$C$5:$C$100,"Expense")=1),AND(B325="Transfer",D325&lt;&gt;"",E325&lt;&gt;"",D325&lt;&gt;E325,F325="",COUNTIF(Accounts!$A$5:$A$50,D325)=1,COUNTIF(Accounts!$A$5:$A$50,E325)=1),AND(B325="Allocation",F325="Savings &amp; Investment",OR(AND(D325&lt;&gt;"",E325="",COUNTIFS(Accounts!$A$5:$A$50,D325,Accounts!$D$5:$D$50,"Asset")=1),AND(D325="",E325&lt;&gt;"",COUNTIFS(Accounts!$A$5:$A$50,E325,Accounts!$D$5:$D$50,"Asset")=1))),AND(B325="Adjustment",F325="",OR(AND(D325&lt;&gt;"",E325="",COUNTIF(Accounts!$A$5:$A$50,D325)=1),AND(D325="",E325&lt;&gt;"",COUNTIF(Accounts!$A$5:$A$50,E325)=1)))),"OK","CHECK: Type / account / category combination")))</f>
        <v/>
      </c>
    </row>
    <row r="326" spans="1:9">
      <c r="A326" s="56"/>
      <c r="C326" s="57"/>
      <c r="I326" s="13" t="str">
        <f>IF(COUNTA(A326:H326)=0,"",IF(OR(A326="",B326="",C326="",C326&lt;=0),"CHECK: Date, Type and positive Amount required",IF(OR(AND(B326="Income",D326="",E326&lt;&gt;"",F326&lt;&gt;"",COUNTIFS(Accounts!$A$5:$A$50,E326,Accounts!$D$5:$D$50,"Asset")=1,COUNTIFS(Categories!$A$5:$A$100,F326,Categories!$C$5:$C$100,"Income")=1),AND(B326="Expense",D326&lt;&gt;"",E326="",F326&lt;&gt;"",COUNTIF(Accounts!$A$5:$A$50,D326)=1,COUNTIFS(Categories!$A$5:$A$100,F326,Categories!$C$5:$C$100,"Expense")=1),AND(B326="Refund",D326="",E326&lt;&gt;"",F326&lt;&gt;"",COUNTIF(Accounts!$A$5:$A$50,E326)=1,COUNTIFS(Categories!$A$5:$A$100,F326,Categories!$C$5:$C$100,"Expense")=1),AND(B326="Transfer",D326&lt;&gt;"",E326&lt;&gt;"",D326&lt;&gt;E326,F326="",COUNTIF(Accounts!$A$5:$A$50,D326)=1,COUNTIF(Accounts!$A$5:$A$50,E326)=1),AND(B326="Allocation",F326="Savings &amp; Investment",OR(AND(D326&lt;&gt;"",E326="",COUNTIFS(Accounts!$A$5:$A$50,D326,Accounts!$D$5:$D$50,"Asset")=1),AND(D326="",E326&lt;&gt;"",COUNTIFS(Accounts!$A$5:$A$50,E326,Accounts!$D$5:$D$50,"Asset")=1))),AND(B326="Adjustment",F326="",OR(AND(D326&lt;&gt;"",E326="",COUNTIF(Accounts!$A$5:$A$50,D326)=1),AND(D326="",E326&lt;&gt;"",COUNTIF(Accounts!$A$5:$A$50,E326)=1)))),"OK","CHECK: Type / account / category combination")))</f>
        <v/>
      </c>
    </row>
    <row r="327" spans="1:9">
      <c r="A327" s="56"/>
      <c r="C327" s="57"/>
      <c r="I327" s="13" t="str">
        <f>IF(COUNTA(A327:H327)=0,"",IF(OR(A327="",B327="",C327="",C327&lt;=0),"CHECK: Date, Type and positive Amount required",IF(OR(AND(B327="Income",D327="",E327&lt;&gt;"",F327&lt;&gt;"",COUNTIFS(Accounts!$A$5:$A$50,E327,Accounts!$D$5:$D$50,"Asset")=1,COUNTIFS(Categories!$A$5:$A$100,F327,Categories!$C$5:$C$100,"Income")=1),AND(B327="Expense",D327&lt;&gt;"",E327="",F327&lt;&gt;"",COUNTIF(Accounts!$A$5:$A$50,D327)=1,COUNTIFS(Categories!$A$5:$A$100,F327,Categories!$C$5:$C$100,"Expense")=1),AND(B327="Refund",D327="",E327&lt;&gt;"",F327&lt;&gt;"",COUNTIF(Accounts!$A$5:$A$50,E327)=1,COUNTIFS(Categories!$A$5:$A$100,F327,Categories!$C$5:$C$100,"Expense")=1),AND(B327="Transfer",D327&lt;&gt;"",E327&lt;&gt;"",D327&lt;&gt;E327,F327="",COUNTIF(Accounts!$A$5:$A$50,D327)=1,COUNTIF(Accounts!$A$5:$A$50,E327)=1),AND(B327="Allocation",F327="Savings &amp; Investment",OR(AND(D327&lt;&gt;"",E327="",COUNTIFS(Accounts!$A$5:$A$50,D327,Accounts!$D$5:$D$50,"Asset")=1),AND(D327="",E327&lt;&gt;"",COUNTIFS(Accounts!$A$5:$A$50,E327,Accounts!$D$5:$D$50,"Asset")=1))),AND(B327="Adjustment",F327="",OR(AND(D327&lt;&gt;"",E327="",COUNTIF(Accounts!$A$5:$A$50,D327)=1),AND(D327="",E327&lt;&gt;"",COUNTIF(Accounts!$A$5:$A$50,E327)=1)))),"OK","CHECK: Type / account / category combination")))</f>
        <v/>
      </c>
    </row>
    <row r="328" spans="1:9">
      <c r="A328" s="56"/>
      <c r="C328" s="57"/>
      <c r="I328" s="13" t="str">
        <f>IF(COUNTA(A328:H328)=0,"",IF(OR(A328="",B328="",C328="",C328&lt;=0),"CHECK: Date, Type and positive Amount required",IF(OR(AND(B328="Income",D328="",E328&lt;&gt;"",F328&lt;&gt;"",COUNTIFS(Accounts!$A$5:$A$50,E328,Accounts!$D$5:$D$50,"Asset")=1,COUNTIFS(Categories!$A$5:$A$100,F328,Categories!$C$5:$C$100,"Income")=1),AND(B328="Expense",D328&lt;&gt;"",E328="",F328&lt;&gt;"",COUNTIF(Accounts!$A$5:$A$50,D328)=1,COUNTIFS(Categories!$A$5:$A$100,F328,Categories!$C$5:$C$100,"Expense")=1),AND(B328="Refund",D328="",E328&lt;&gt;"",F328&lt;&gt;"",COUNTIF(Accounts!$A$5:$A$50,E328)=1,COUNTIFS(Categories!$A$5:$A$100,F328,Categories!$C$5:$C$100,"Expense")=1),AND(B328="Transfer",D328&lt;&gt;"",E328&lt;&gt;"",D328&lt;&gt;E328,F328="",COUNTIF(Accounts!$A$5:$A$50,D328)=1,COUNTIF(Accounts!$A$5:$A$50,E328)=1),AND(B328="Allocation",F328="Savings &amp; Investment",OR(AND(D328&lt;&gt;"",E328="",COUNTIFS(Accounts!$A$5:$A$50,D328,Accounts!$D$5:$D$50,"Asset")=1),AND(D328="",E328&lt;&gt;"",COUNTIFS(Accounts!$A$5:$A$50,E328,Accounts!$D$5:$D$50,"Asset")=1))),AND(B328="Adjustment",F328="",OR(AND(D328&lt;&gt;"",E328="",COUNTIF(Accounts!$A$5:$A$50,D328)=1),AND(D328="",E328&lt;&gt;"",COUNTIF(Accounts!$A$5:$A$50,E328)=1)))),"OK","CHECK: Type / account / category combination")))</f>
        <v/>
      </c>
    </row>
    <row r="329" spans="1:9">
      <c r="A329" s="56"/>
      <c r="C329" s="57"/>
      <c r="I329" s="13" t="str">
        <f>IF(COUNTA(A329:H329)=0,"",IF(OR(A329="",B329="",C329="",C329&lt;=0),"CHECK: Date, Type and positive Amount required",IF(OR(AND(B329="Income",D329="",E329&lt;&gt;"",F329&lt;&gt;"",COUNTIFS(Accounts!$A$5:$A$50,E329,Accounts!$D$5:$D$50,"Asset")=1,COUNTIFS(Categories!$A$5:$A$100,F329,Categories!$C$5:$C$100,"Income")=1),AND(B329="Expense",D329&lt;&gt;"",E329="",F329&lt;&gt;"",COUNTIF(Accounts!$A$5:$A$50,D329)=1,COUNTIFS(Categories!$A$5:$A$100,F329,Categories!$C$5:$C$100,"Expense")=1),AND(B329="Refund",D329="",E329&lt;&gt;"",F329&lt;&gt;"",COUNTIF(Accounts!$A$5:$A$50,E329)=1,COUNTIFS(Categories!$A$5:$A$100,F329,Categories!$C$5:$C$100,"Expense")=1),AND(B329="Transfer",D329&lt;&gt;"",E329&lt;&gt;"",D329&lt;&gt;E329,F329="",COUNTIF(Accounts!$A$5:$A$50,D329)=1,COUNTIF(Accounts!$A$5:$A$50,E329)=1),AND(B329="Allocation",F329="Savings &amp; Investment",OR(AND(D329&lt;&gt;"",E329="",COUNTIFS(Accounts!$A$5:$A$50,D329,Accounts!$D$5:$D$50,"Asset")=1),AND(D329="",E329&lt;&gt;"",COUNTIFS(Accounts!$A$5:$A$50,E329,Accounts!$D$5:$D$50,"Asset")=1))),AND(B329="Adjustment",F329="",OR(AND(D329&lt;&gt;"",E329="",COUNTIF(Accounts!$A$5:$A$50,D329)=1),AND(D329="",E329&lt;&gt;"",COUNTIF(Accounts!$A$5:$A$50,E329)=1)))),"OK","CHECK: Type / account / category combination")))</f>
        <v/>
      </c>
    </row>
    <row r="330" spans="1:9">
      <c r="A330" s="56"/>
      <c r="C330" s="57"/>
      <c r="I330" s="13" t="str">
        <f>IF(COUNTA(A330:H330)=0,"",IF(OR(A330="",B330="",C330="",C330&lt;=0),"CHECK: Date, Type and positive Amount required",IF(OR(AND(B330="Income",D330="",E330&lt;&gt;"",F330&lt;&gt;"",COUNTIFS(Accounts!$A$5:$A$50,E330,Accounts!$D$5:$D$50,"Asset")=1,COUNTIFS(Categories!$A$5:$A$100,F330,Categories!$C$5:$C$100,"Income")=1),AND(B330="Expense",D330&lt;&gt;"",E330="",F330&lt;&gt;"",COUNTIF(Accounts!$A$5:$A$50,D330)=1,COUNTIFS(Categories!$A$5:$A$100,F330,Categories!$C$5:$C$100,"Expense")=1),AND(B330="Refund",D330="",E330&lt;&gt;"",F330&lt;&gt;"",COUNTIF(Accounts!$A$5:$A$50,E330)=1,COUNTIFS(Categories!$A$5:$A$100,F330,Categories!$C$5:$C$100,"Expense")=1),AND(B330="Transfer",D330&lt;&gt;"",E330&lt;&gt;"",D330&lt;&gt;E330,F330="",COUNTIF(Accounts!$A$5:$A$50,D330)=1,COUNTIF(Accounts!$A$5:$A$50,E330)=1),AND(B330="Allocation",F330="Savings &amp; Investment",OR(AND(D330&lt;&gt;"",E330="",COUNTIFS(Accounts!$A$5:$A$50,D330,Accounts!$D$5:$D$50,"Asset")=1),AND(D330="",E330&lt;&gt;"",COUNTIFS(Accounts!$A$5:$A$50,E330,Accounts!$D$5:$D$50,"Asset")=1))),AND(B330="Adjustment",F330="",OR(AND(D330&lt;&gt;"",E330="",COUNTIF(Accounts!$A$5:$A$50,D330)=1),AND(D330="",E330&lt;&gt;"",COUNTIF(Accounts!$A$5:$A$50,E330)=1)))),"OK","CHECK: Type / account / category combination")))</f>
        <v/>
      </c>
    </row>
    <row r="331" spans="1:9">
      <c r="A331" s="56"/>
      <c r="C331" s="57"/>
      <c r="I331" s="13" t="str">
        <f>IF(COUNTA(A331:H331)=0,"",IF(OR(A331="",B331="",C331="",C331&lt;=0),"CHECK: Date, Type and positive Amount required",IF(OR(AND(B331="Income",D331="",E331&lt;&gt;"",F331&lt;&gt;"",COUNTIFS(Accounts!$A$5:$A$50,E331,Accounts!$D$5:$D$50,"Asset")=1,COUNTIFS(Categories!$A$5:$A$100,F331,Categories!$C$5:$C$100,"Income")=1),AND(B331="Expense",D331&lt;&gt;"",E331="",F331&lt;&gt;"",COUNTIF(Accounts!$A$5:$A$50,D331)=1,COUNTIFS(Categories!$A$5:$A$100,F331,Categories!$C$5:$C$100,"Expense")=1),AND(B331="Refund",D331="",E331&lt;&gt;"",F331&lt;&gt;"",COUNTIF(Accounts!$A$5:$A$50,E331)=1,COUNTIFS(Categories!$A$5:$A$100,F331,Categories!$C$5:$C$100,"Expense")=1),AND(B331="Transfer",D331&lt;&gt;"",E331&lt;&gt;"",D331&lt;&gt;E331,F331="",COUNTIF(Accounts!$A$5:$A$50,D331)=1,COUNTIF(Accounts!$A$5:$A$50,E331)=1),AND(B331="Allocation",F331="Savings &amp; Investment",OR(AND(D331&lt;&gt;"",E331="",COUNTIFS(Accounts!$A$5:$A$50,D331,Accounts!$D$5:$D$50,"Asset")=1),AND(D331="",E331&lt;&gt;"",COUNTIFS(Accounts!$A$5:$A$50,E331,Accounts!$D$5:$D$50,"Asset")=1))),AND(B331="Adjustment",F331="",OR(AND(D331&lt;&gt;"",E331="",COUNTIF(Accounts!$A$5:$A$50,D331)=1),AND(D331="",E331&lt;&gt;"",COUNTIF(Accounts!$A$5:$A$50,E331)=1)))),"OK","CHECK: Type / account / category combination")))</f>
        <v/>
      </c>
    </row>
    <row r="332" spans="1:9">
      <c r="A332" s="56"/>
      <c r="C332" s="57"/>
      <c r="I332" s="13" t="str">
        <f>IF(COUNTA(A332:H332)=0,"",IF(OR(A332="",B332="",C332="",C332&lt;=0),"CHECK: Date, Type and positive Amount required",IF(OR(AND(B332="Income",D332="",E332&lt;&gt;"",F332&lt;&gt;"",COUNTIFS(Accounts!$A$5:$A$50,E332,Accounts!$D$5:$D$50,"Asset")=1,COUNTIFS(Categories!$A$5:$A$100,F332,Categories!$C$5:$C$100,"Income")=1),AND(B332="Expense",D332&lt;&gt;"",E332="",F332&lt;&gt;"",COUNTIF(Accounts!$A$5:$A$50,D332)=1,COUNTIFS(Categories!$A$5:$A$100,F332,Categories!$C$5:$C$100,"Expense")=1),AND(B332="Refund",D332="",E332&lt;&gt;"",F332&lt;&gt;"",COUNTIF(Accounts!$A$5:$A$50,E332)=1,COUNTIFS(Categories!$A$5:$A$100,F332,Categories!$C$5:$C$100,"Expense")=1),AND(B332="Transfer",D332&lt;&gt;"",E332&lt;&gt;"",D332&lt;&gt;E332,F332="",COUNTIF(Accounts!$A$5:$A$50,D332)=1,COUNTIF(Accounts!$A$5:$A$50,E332)=1),AND(B332="Allocation",F332="Savings &amp; Investment",OR(AND(D332&lt;&gt;"",E332="",COUNTIFS(Accounts!$A$5:$A$50,D332,Accounts!$D$5:$D$50,"Asset")=1),AND(D332="",E332&lt;&gt;"",COUNTIFS(Accounts!$A$5:$A$50,E332,Accounts!$D$5:$D$50,"Asset")=1))),AND(B332="Adjustment",F332="",OR(AND(D332&lt;&gt;"",E332="",COUNTIF(Accounts!$A$5:$A$50,D332)=1),AND(D332="",E332&lt;&gt;"",COUNTIF(Accounts!$A$5:$A$50,E332)=1)))),"OK","CHECK: Type / account / category combination")))</f>
        <v/>
      </c>
    </row>
    <row r="333" spans="1:9">
      <c r="A333" s="56"/>
      <c r="C333" s="57"/>
      <c r="I333" s="13" t="str">
        <f>IF(COUNTA(A333:H333)=0,"",IF(OR(A333="",B333="",C333="",C333&lt;=0),"CHECK: Date, Type and positive Amount required",IF(OR(AND(B333="Income",D333="",E333&lt;&gt;"",F333&lt;&gt;"",COUNTIFS(Accounts!$A$5:$A$50,E333,Accounts!$D$5:$D$50,"Asset")=1,COUNTIFS(Categories!$A$5:$A$100,F333,Categories!$C$5:$C$100,"Income")=1),AND(B333="Expense",D333&lt;&gt;"",E333="",F333&lt;&gt;"",COUNTIF(Accounts!$A$5:$A$50,D333)=1,COUNTIFS(Categories!$A$5:$A$100,F333,Categories!$C$5:$C$100,"Expense")=1),AND(B333="Refund",D333="",E333&lt;&gt;"",F333&lt;&gt;"",COUNTIF(Accounts!$A$5:$A$50,E333)=1,COUNTIFS(Categories!$A$5:$A$100,F333,Categories!$C$5:$C$100,"Expense")=1),AND(B333="Transfer",D333&lt;&gt;"",E333&lt;&gt;"",D333&lt;&gt;E333,F333="",COUNTIF(Accounts!$A$5:$A$50,D333)=1,COUNTIF(Accounts!$A$5:$A$50,E333)=1),AND(B333="Allocation",F333="Savings &amp; Investment",OR(AND(D333&lt;&gt;"",E333="",COUNTIFS(Accounts!$A$5:$A$50,D333,Accounts!$D$5:$D$50,"Asset")=1),AND(D333="",E333&lt;&gt;"",COUNTIFS(Accounts!$A$5:$A$50,E333,Accounts!$D$5:$D$50,"Asset")=1))),AND(B333="Adjustment",F333="",OR(AND(D333&lt;&gt;"",E333="",COUNTIF(Accounts!$A$5:$A$50,D333)=1),AND(D333="",E333&lt;&gt;"",COUNTIF(Accounts!$A$5:$A$50,E333)=1)))),"OK","CHECK: Type / account / category combination")))</f>
        <v/>
      </c>
    </row>
    <row r="334" spans="1:9">
      <c r="A334" s="56"/>
      <c r="C334" s="57"/>
      <c r="I334" s="13" t="str">
        <f>IF(COUNTA(A334:H334)=0,"",IF(OR(A334="",B334="",C334="",C334&lt;=0),"CHECK: Date, Type and positive Amount required",IF(OR(AND(B334="Income",D334="",E334&lt;&gt;"",F334&lt;&gt;"",COUNTIFS(Accounts!$A$5:$A$50,E334,Accounts!$D$5:$D$50,"Asset")=1,COUNTIFS(Categories!$A$5:$A$100,F334,Categories!$C$5:$C$100,"Income")=1),AND(B334="Expense",D334&lt;&gt;"",E334="",F334&lt;&gt;"",COUNTIF(Accounts!$A$5:$A$50,D334)=1,COUNTIFS(Categories!$A$5:$A$100,F334,Categories!$C$5:$C$100,"Expense")=1),AND(B334="Refund",D334="",E334&lt;&gt;"",F334&lt;&gt;"",COUNTIF(Accounts!$A$5:$A$50,E334)=1,COUNTIFS(Categories!$A$5:$A$100,F334,Categories!$C$5:$C$100,"Expense")=1),AND(B334="Transfer",D334&lt;&gt;"",E334&lt;&gt;"",D334&lt;&gt;E334,F334="",COUNTIF(Accounts!$A$5:$A$50,D334)=1,COUNTIF(Accounts!$A$5:$A$50,E334)=1),AND(B334="Allocation",F334="Savings &amp; Investment",OR(AND(D334&lt;&gt;"",E334="",COUNTIFS(Accounts!$A$5:$A$50,D334,Accounts!$D$5:$D$50,"Asset")=1),AND(D334="",E334&lt;&gt;"",COUNTIFS(Accounts!$A$5:$A$50,E334,Accounts!$D$5:$D$50,"Asset")=1))),AND(B334="Adjustment",F334="",OR(AND(D334&lt;&gt;"",E334="",COUNTIF(Accounts!$A$5:$A$50,D334)=1),AND(D334="",E334&lt;&gt;"",COUNTIF(Accounts!$A$5:$A$50,E334)=1)))),"OK","CHECK: Type / account / category combination")))</f>
        <v/>
      </c>
    </row>
    <row r="335" spans="1:9">
      <c r="A335" s="56"/>
      <c r="C335" s="57"/>
      <c r="I335" s="13" t="str">
        <f>IF(COUNTA(A335:H335)=0,"",IF(OR(A335="",B335="",C335="",C335&lt;=0),"CHECK: Date, Type and positive Amount required",IF(OR(AND(B335="Income",D335="",E335&lt;&gt;"",F335&lt;&gt;"",COUNTIFS(Accounts!$A$5:$A$50,E335,Accounts!$D$5:$D$50,"Asset")=1,COUNTIFS(Categories!$A$5:$A$100,F335,Categories!$C$5:$C$100,"Income")=1),AND(B335="Expense",D335&lt;&gt;"",E335="",F335&lt;&gt;"",COUNTIF(Accounts!$A$5:$A$50,D335)=1,COUNTIFS(Categories!$A$5:$A$100,F335,Categories!$C$5:$C$100,"Expense")=1),AND(B335="Refund",D335="",E335&lt;&gt;"",F335&lt;&gt;"",COUNTIF(Accounts!$A$5:$A$50,E335)=1,COUNTIFS(Categories!$A$5:$A$100,F335,Categories!$C$5:$C$100,"Expense")=1),AND(B335="Transfer",D335&lt;&gt;"",E335&lt;&gt;"",D335&lt;&gt;E335,F335="",COUNTIF(Accounts!$A$5:$A$50,D335)=1,COUNTIF(Accounts!$A$5:$A$50,E335)=1),AND(B335="Allocation",F335="Savings &amp; Investment",OR(AND(D335&lt;&gt;"",E335="",COUNTIFS(Accounts!$A$5:$A$50,D335,Accounts!$D$5:$D$50,"Asset")=1),AND(D335="",E335&lt;&gt;"",COUNTIFS(Accounts!$A$5:$A$50,E335,Accounts!$D$5:$D$50,"Asset")=1))),AND(B335="Adjustment",F335="",OR(AND(D335&lt;&gt;"",E335="",COUNTIF(Accounts!$A$5:$A$50,D335)=1),AND(D335="",E335&lt;&gt;"",COUNTIF(Accounts!$A$5:$A$50,E335)=1)))),"OK","CHECK: Type / account / category combination")))</f>
        <v/>
      </c>
    </row>
    <row r="336" spans="1:9">
      <c r="A336" s="56"/>
      <c r="C336" s="57"/>
      <c r="I336" s="13" t="str">
        <f>IF(COUNTA(A336:H336)=0,"",IF(OR(A336="",B336="",C336="",C336&lt;=0),"CHECK: Date, Type and positive Amount required",IF(OR(AND(B336="Income",D336="",E336&lt;&gt;"",F336&lt;&gt;"",COUNTIFS(Accounts!$A$5:$A$50,E336,Accounts!$D$5:$D$50,"Asset")=1,COUNTIFS(Categories!$A$5:$A$100,F336,Categories!$C$5:$C$100,"Income")=1),AND(B336="Expense",D336&lt;&gt;"",E336="",F336&lt;&gt;"",COUNTIF(Accounts!$A$5:$A$50,D336)=1,COUNTIFS(Categories!$A$5:$A$100,F336,Categories!$C$5:$C$100,"Expense")=1),AND(B336="Refund",D336="",E336&lt;&gt;"",F336&lt;&gt;"",COUNTIF(Accounts!$A$5:$A$50,E336)=1,COUNTIFS(Categories!$A$5:$A$100,F336,Categories!$C$5:$C$100,"Expense")=1),AND(B336="Transfer",D336&lt;&gt;"",E336&lt;&gt;"",D336&lt;&gt;E336,F336="",COUNTIF(Accounts!$A$5:$A$50,D336)=1,COUNTIF(Accounts!$A$5:$A$50,E336)=1),AND(B336="Allocation",F336="Savings &amp; Investment",OR(AND(D336&lt;&gt;"",E336="",COUNTIFS(Accounts!$A$5:$A$50,D336,Accounts!$D$5:$D$50,"Asset")=1),AND(D336="",E336&lt;&gt;"",COUNTIFS(Accounts!$A$5:$A$50,E336,Accounts!$D$5:$D$50,"Asset")=1))),AND(B336="Adjustment",F336="",OR(AND(D336&lt;&gt;"",E336="",COUNTIF(Accounts!$A$5:$A$50,D336)=1),AND(D336="",E336&lt;&gt;"",COUNTIF(Accounts!$A$5:$A$50,E336)=1)))),"OK","CHECK: Type / account / category combination")))</f>
        <v/>
      </c>
    </row>
    <row r="337" spans="1:9">
      <c r="A337" s="56"/>
      <c r="C337" s="57"/>
      <c r="I337" s="13" t="str">
        <f>IF(COUNTA(A337:H337)=0,"",IF(OR(A337="",B337="",C337="",C337&lt;=0),"CHECK: Date, Type and positive Amount required",IF(OR(AND(B337="Income",D337="",E337&lt;&gt;"",F337&lt;&gt;"",COUNTIFS(Accounts!$A$5:$A$50,E337,Accounts!$D$5:$D$50,"Asset")=1,COUNTIFS(Categories!$A$5:$A$100,F337,Categories!$C$5:$C$100,"Income")=1),AND(B337="Expense",D337&lt;&gt;"",E337="",F337&lt;&gt;"",COUNTIF(Accounts!$A$5:$A$50,D337)=1,COUNTIFS(Categories!$A$5:$A$100,F337,Categories!$C$5:$C$100,"Expense")=1),AND(B337="Refund",D337="",E337&lt;&gt;"",F337&lt;&gt;"",COUNTIF(Accounts!$A$5:$A$50,E337)=1,COUNTIFS(Categories!$A$5:$A$100,F337,Categories!$C$5:$C$100,"Expense")=1),AND(B337="Transfer",D337&lt;&gt;"",E337&lt;&gt;"",D337&lt;&gt;E337,F337="",COUNTIF(Accounts!$A$5:$A$50,D337)=1,COUNTIF(Accounts!$A$5:$A$50,E337)=1),AND(B337="Allocation",F337="Savings &amp; Investment",OR(AND(D337&lt;&gt;"",E337="",COUNTIFS(Accounts!$A$5:$A$50,D337,Accounts!$D$5:$D$50,"Asset")=1),AND(D337="",E337&lt;&gt;"",COUNTIFS(Accounts!$A$5:$A$50,E337,Accounts!$D$5:$D$50,"Asset")=1))),AND(B337="Adjustment",F337="",OR(AND(D337&lt;&gt;"",E337="",COUNTIF(Accounts!$A$5:$A$50,D337)=1),AND(D337="",E337&lt;&gt;"",COUNTIF(Accounts!$A$5:$A$50,E337)=1)))),"OK","CHECK: Type / account / category combination")))</f>
        <v/>
      </c>
    </row>
    <row r="338" spans="1:9">
      <c r="A338" s="56"/>
      <c r="C338" s="57"/>
      <c r="I338" s="13" t="str">
        <f>IF(COUNTA(A338:H338)=0,"",IF(OR(A338="",B338="",C338="",C338&lt;=0),"CHECK: Date, Type and positive Amount required",IF(OR(AND(B338="Income",D338="",E338&lt;&gt;"",F338&lt;&gt;"",COUNTIFS(Accounts!$A$5:$A$50,E338,Accounts!$D$5:$D$50,"Asset")=1,COUNTIFS(Categories!$A$5:$A$100,F338,Categories!$C$5:$C$100,"Income")=1),AND(B338="Expense",D338&lt;&gt;"",E338="",F338&lt;&gt;"",COUNTIF(Accounts!$A$5:$A$50,D338)=1,COUNTIFS(Categories!$A$5:$A$100,F338,Categories!$C$5:$C$100,"Expense")=1),AND(B338="Refund",D338="",E338&lt;&gt;"",F338&lt;&gt;"",COUNTIF(Accounts!$A$5:$A$50,E338)=1,COUNTIFS(Categories!$A$5:$A$100,F338,Categories!$C$5:$C$100,"Expense")=1),AND(B338="Transfer",D338&lt;&gt;"",E338&lt;&gt;"",D338&lt;&gt;E338,F338="",COUNTIF(Accounts!$A$5:$A$50,D338)=1,COUNTIF(Accounts!$A$5:$A$50,E338)=1),AND(B338="Allocation",F338="Savings &amp; Investment",OR(AND(D338&lt;&gt;"",E338="",COUNTIFS(Accounts!$A$5:$A$50,D338,Accounts!$D$5:$D$50,"Asset")=1),AND(D338="",E338&lt;&gt;"",COUNTIFS(Accounts!$A$5:$A$50,E338,Accounts!$D$5:$D$50,"Asset")=1))),AND(B338="Adjustment",F338="",OR(AND(D338&lt;&gt;"",E338="",COUNTIF(Accounts!$A$5:$A$50,D338)=1),AND(D338="",E338&lt;&gt;"",COUNTIF(Accounts!$A$5:$A$50,E338)=1)))),"OK","CHECK: Type / account / category combination")))</f>
        <v/>
      </c>
    </row>
    <row r="339" spans="1:9">
      <c r="A339" s="56"/>
      <c r="C339" s="57"/>
      <c r="I339" s="13" t="str">
        <f>IF(COUNTA(A339:H339)=0,"",IF(OR(A339="",B339="",C339="",C339&lt;=0),"CHECK: Date, Type and positive Amount required",IF(OR(AND(B339="Income",D339="",E339&lt;&gt;"",F339&lt;&gt;"",COUNTIFS(Accounts!$A$5:$A$50,E339,Accounts!$D$5:$D$50,"Asset")=1,COUNTIFS(Categories!$A$5:$A$100,F339,Categories!$C$5:$C$100,"Income")=1),AND(B339="Expense",D339&lt;&gt;"",E339="",F339&lt;&gt;"",COUNTIF(Accounts!$A$5:$A$50,D339)=1,COUNTIFS(Categories!$A$5:$A$100,F339,Categories!$C$5:$C$100,"Expense")=1),AND(B339="Refund",D339="",E339&lt;&gt;"",F339&lt;&gt;"",COUNTIF(Accounts!$A$5:$A$50,E339)=1,COUNTIFS(Categories!$A$5:$A$100,F339,Categories!$C$5:$C$100,"Expense")=1),AND(B339="Transfer",D339&lt;&gt;"",E339&lt;&gt;"",D339&lt;&gt;E339,F339="",COUNTIF(Accounts!$A$5:$A$50,D339)=1,COUNTIF(Accounts!$A$5:$A$50,E339)=1),AND(B339="Allocation",F339="Savings &amp; Investment",OR(AND(D339&lt;&gt;"",E339="",COUNTIFS(Accounts!$A$5:$A$50,D339,Accounts!$D$5:$D$50,"Asset")=1),AND(D339="",E339&lt;&gt;"",COUNTIFS(Accounts!$A$5:$A$50,E339,Accounts!$D$5:$D$50,"Asset")=1))),AND(B339="Adjustment",F339="",OR(AND(D339&lt;&gt;"",E339="",COUNTIF(Accounts!$A$5:$A$50,D339)=1),AND(D339="",E339&lt;&gt;"",COUNTIF(Accounts!$A$5:$A$50,E339)=1)))),"OK","CHECK: Type / account / category combination")))</f>
        <v/>
      </c>
    </row>
    <row r="340" spans="1:9">
      <c r="A340" s="56"/>
      <c r="C340" s="57"/>
      <c r="I340" s="13" t="str">
        <f>IF(COUNTA(A340:H340)=0,"",IF(OR(A340="",B340="",C340="",C340&lt;=0),"CHECK: Date, Type and positive Amount required",IF(OR(AND(B340="Income",D340="",E340&lt;&gt;"",F340&lt;&gt;"",COUNTIFS(Accounts!$A$5:$A$50,E340,Accounts!$D$5:$D$50,"Asset")=1,COUNTIFS(Categories!$A$5:$A$100,F340,Categories!$C$5:$C$100,"Income")=1),AND(B340="Expense",D340&lt;&gt;"",E340="",F340&lt;&gt;"",COUNTIF(Accounts!$A$5:$A$50,D340)=1,COUNTIFS(Categories!$A$5:$A$100,F340,Categories!$C$5:$C$100,"Expense")=1),AND(B340="Refund",D340="",E340&lt;&gt;"",F340&lt;&gt;"",COUNTIF(Accounts!$A$5:$A$50,E340)=1,COUNTIFS(Categories!$A$5:$A$100,F340,Categories!$C$5:$C$100,"Expense")=1),AND(B340="Transfer",D340&lt;&gt;"",E340&lt;&gt;"",D340&lt;&gt;E340,F340="",COUNTIF(Accounts!$A$5:$A$50,D340)=1,COUNTIF(Accounts!$A$5:$A$50,E340)=1),AND(B340="Allocation",F340="Savings &amp; Investment",OR(AND(D340&lt;&gt;"",E340="",COUNTIFS(Accounts!$A$5:$A$50,D340,Accounts!$D$5:$D$50,"Asset")=1),AND(D340="",E340&lt;&gt;"",COUNTIFS(Accounts!$A$5:$A$50,E340,Accounts!$D$5:$D$50,"Asset")=1))),AND(B340="Adjustment",F340="",OR(AND(D340&lt;&gt;"",E340="",COUNTIF(Accounts!$A$5:$A$50,D340)=1),AND(D340="",E340&lt;&gt;"",COUNTIF(Accounts!$A$5:$A$50,E340)=1)))),"OK","CHECK: Type / account / category combination")))</f>
        <v/>
      </c>
    </row>
    <row r="341" spans="1:9">
      <c r="A341" s="56"/>
      <c r="C341" s="57"/>
      <c r="I341" s="13" t="str">
        <f>IF(COUNTA(A341:H341)=0,"",IF(OR(A341="",B341="",C341="",C341&lt;=0),"CHECK: Date, Type and positive Amount required",IF(OR(AND(B341="Income",D341="",E341&lt;&gt;"",F341&lt;&gt;"",COUNTIFS(Accounts!$A$5:$A$50,E341,Accounts!$D$5:$D$50,"Asset")=1,COUNTIFS(Categories!$A$5:$A$100,F341,Categories!$C$5:$C$100,"Income")=1),AND(B341="Expense",D341&lt;&gt;"",E341="",F341&lt;&gt;"",COUNTIF(Accounts!$A$5:$A$50,D341)=1,COUNTIFS(Categories!$A$5:$A$100,F341,Categories!$C$5:$C$100,"Expense")=1),AND(B341="Refund",D341="",E341&lt;&gt;"",F341&lt;&gt;"",COUNTIF(Accounts!$A$5:$A$50,E341)=1,COUNTIFS(Categories!$A$5:$A$100,F341,Categories!$C$5:$C$100,"Expense")=1),AND(B341="Transfer",D341&lt;&gt;"",E341&lt;&gt;"",D341&lt;&gt;E341,F341="",COUNTIF(Accounts!$A$5:$A$50,D341)=1,COUNTIF(Accounts!$A$5:$A$50,E341)=1),AND(B341="Allocation",F341="Savings &amp; Investment",OR(AND(D341&lt;&gt;"",E341="",COUNTIFS(Accounts!$A$5:$A$50,D341,Accounts!$D$5:$D$50,"Asset")=1),AND(D341="",E341&lt;&gt;"",COUNTIFS(Accounts!$A$5:$A$50,E341,Accounts!$D$5:$D$50,"Asset")=1))),AND(B341="Adjustment",F341="",OR(AND(D341&lt;&gt;"",E341="",COUNTIF(Accounts!$A$5:$A$50,D341)=1),AND(D341="",E341&lt;&gt;"",COUNTIF(Accounts!$A$5:$A$50,E341)=1)))),"OK","CHECK: Type / account / category combination")))</f>
        <v/>
      </c>
    </row>
    <row r="342" spans="1:9">
      <c r="A342" s="56"/>
      <c r="C342" s="57"/>
      <c r="I342" s="13" t="str">
        <f>IF(COUNTA(A342:H342)=0,"",IF(OR(A342="",B342="",C342="",C342&lt;=0),"CHECK: Date, Type and positive Amount required",IF(OR(AND(B342="Income",D342="",E342&lt;&gt;"",F342&lt;&gt;"",COUNTIFS(Accounts!$A$5:$A$50,E342,Accounts!$D$5:$D$50,"Asset")=1,COUNTIFS(Categories!$A$5:$A$100,F342,Categories!$C$5:$C$100,"Income")=1),AND(B342="Expense",D342&lt;&gt;"",E342="",F342&lt;&gt;"",COUNTIF(Accounts!$A$5:$A$50,D342)=1,COUNTIFS(Categories!$A$5:$A$100,F342,Categories!$C$5:$C$100,"Expense")=1),AND(B342="Refund",D342="",E342&lt;&gt;"",F342&lt;&gt;"",COUNTIF(Accounts!$A$5:$A$50,E342)=1,COUNTIFS(Categories!$A$5:$A$100,F342,Categories!$C$5:$C$100,"Expense")=1),AND(B342="Transfer",D342&lt;&gt;"",E342&lt;&gt;"",D342&lt;&gt;E342,F342="",COUNTIF(Accounts!$A$5:$A$50,D342)=1,COUNTIF(Accounts!$A$5:$A$50,E342)=1),AND(B342="Allocation",F342="Savings &amp; Investment",OR(AND(D342&lt;&gt;"",E342="",COUNTIFS(Accounts!$A$5:$A$50,D342,Accounts!$D$5:$D$50,"Asset")=1),AND(D342="",E342&lt;&gt;"",COUNTIFS(Accounts!$A$5:$A$50,E342,Accounts!$D$5:$D$50,"Asset")=1))),AND(B342="Adjustment",F342="",OR(AND(D342&lt;&gt;"",E342="",COUNTIF(Accounts!$A$5:$A$50,D342)=1),AND(D342="",E342&lt;&gt;"",COUNTIF(Accounts!$A$5:$A$50,E342)=1)))),"OK","CHECK: Type / account / category combination")))</f>
        <v/>
      </c>
    </row>
    <row r="343" spans="1:9">
      <c r="A343" s="56"/>
      <c r="C343" s="57"/>
      <c r="I343" s="13" t="str">
        <f>IF(COUNTA(A343:H343)=0,"",IF(OR(A343="",B343="",C343="",C343&lt;=0),"CHECK: Date, Type and positive Amount required",IF(OR(AND(B343="Income",D343="",E343&lt;&gt;"",F343&lt;&gt;"",COUNTIFS(Accounts!$A$5:$A$50,E343,Accounts!$D$5:$D$50,"Asset")=1,COUNTIFS(Categories!$A$5:$A$100,F343,Categories!$C$5:$C$100,"Income")=1),AND(B343="Expense",D343&lt;&gt;"",E343="",F343&lt;&gt;"",COUNTIF(Accounts!$A$5:$A$50,D343)=1,COUNTIFS(Categories!$A$5:$A$100,F343,Categories!$C$5:$C$100,"Expense")=1),AND(B343="Refund",D343="",E343&lt;&gt;"",F343&lt;&gt;"",COUNTIF(Accounts!$A$5:$A$50,E343)=1,COUNTIFS(Categories!$A$5:$A$100,F343,Categories!$C$5:$C$100,"Expense")=1),AND(B343="Transfer",D343&lt;&gt;"",E343&lt;&gt;"",D343&lt;&gt;E343,F343="",COUNTIF(Accounts!$A$5:$A$50,D343)=1,COUNTIF(Accounts!$A$5:$A$50,E343)=1),AND(B343="Allocation",F343="Savings &amp; Investment",OR(AND(D343&lt;&gt;"",E343="",COUNTIFS(Accounts!$A$5:$A$50,D343,Accounts!$D$5:$D$50,"Asset")=1),AND(D343="",E343&lt;&gt;"",COUNTIFS(Accounts!$A$5:$A$50,E343,Accounts!$D$5:$D$50,"Asset")=1))),AND(B343="Adjustment",F343="",OR(AND(D343&lt;&gt;"",E343="",COUNTIF(Accounts!$A$5:$A$50,D343)=1),AND(D343="",E343&lt;&gt;"",COUNTIF(Accounts!$A$5:$A$50,E343)=1)))),"OK","CHECK: Type / account / category combination")))</f>
        <v/>
      </c>
    </row>
    <row r="344" spans="1:9">
      <c r="A344" s="56"/>
      <c r="C344" s="57"/>
      <c r="I344" s="13" t="str">
        <f>IF(COUNTA(A344:H344)=0,"",IF(OR(A344="",B344="",C344="",C344&lt;=0),"CHECK: Date, Type and positive Amount required",IF(OR(AND(B344="Income",D344="",E344&lt;&gt;"",F344&lt;&gt;"",COUNTIFS(Accounts!$A$5:$A$50,E344,Accounts!$D$5:$D$50,"Asset")=1,COUNTIFS(Categories!$A$5:$A$100,F344,Categories!$C$5:$C$100,"Income")=1),AND(B344="Expense",D344&lt;&gt;"",E344="",F344&lt;&gt;"",COUNTIF(Accounts!$A$5:$A$50,D344)=1,COUNTIFS(Categories!$A$5:$A$100,F344,Categories!$C$5:$C$100,"Expense")=1),AND(B344="Refund",D344="",E344&lt;&gt;"",F344&lt;&gt;"",COUNTIF(Accounts!$A$5:$A$50,E344)=1,COUNTIFS(Categories!$A$5:$A$100,F344,Categories!$C$5:$C$100,"Expense")=1),AND(B344="Transfer",D344&lt;&gt;"",E344&lt;&gt;"",D344&lt;&gt;E344,F344="",COUNTIF(Accounts!$A$5:$A$50,D344)=1,COUNTIF(Accounts!$A$5:$A$50,E344)=1),AND(B344="Allocation",F344="Savings &amp; Investment",OR(AND(D344&lt;&gt;"",E344="",COUNTIFS(Accounts!$A$5:$A$50,D344,Accounts!$D$5:$D$50,"Asset")=1),AND(D344="",E344&lt;&gt;"",COUNTIFS(Accounts!$A$5:$A$50,E344,Accounts!$D$5:$D$50,"Asset")=1))),AND(B344="Adjustment",F344="",OR(AND(D344&lt;&gt;"",E344="",COUNTIF(Accounts!$A$5:$A$50,D344)=1),AND(D344="",E344&lt;&gt;"",COUNTIF(Accounts!$A$5:$A$50,E344)=1)))),"OK","CHECK: Type / account / category combination")))</f>
        <v/>
      </c>
    </row>
    <row r="345" spans="1:9">
      <c r="A345" s="56"/>
      <c r="C345" s="57"/>
      <c r="I345" s="13" t="str">
        <f>IF(COUNTA(A345:H345)=0,"",IF(OR(A345="",B345="",C345="",C345&lt;=0),"CHECK: Date, Type and positive Amount required",IF(OR(AND(B345="Income",D345="",E345&lt;&gt;"",F345&lt;&gt;"",COUNTIFS(Accounts!$A$5:$A$50,E345,Accounts!$D$5:$D$50,"Asset")=1,COUNTIFS(Categories!$A$5:$A$100,F345,Categories!$C$5:$C$100,"Income")=1),AND(B345="Expense",D345&lt;&gt;"",E345="",F345&lt;&gt;"",COUNTIF(Accounts!$A$5:$A$50,D345)=1,COUNTIFS(Categories!$A$5:$A$100,F345,Categories!$C$5:$C$100,"Expense")=1),AND(B345="Refund",D345="",E345&lt;&gt;"",F345&lt;&gt;"",COUNTIF(Accounts!$A$5:$A$50,E345)=1,COUNTIFS(Categories!$A$5:$A$100,F345,Categories!$C$5:$C$100,"Expense")=1),AND(B345="Transfer",D345&lt;&gt;"",E345&lt;&gt;"",D345&lt;&gt;E345,F345="",COUNTIF(Accounts!$A$5:$A$50,D345)=1,COUNTIF(Accounts!$A$5:$A$50,E345)=1),AND(B345="Allocation",F345="Savings &amp; Investment",OR(AND(D345&lt;&gt;"",E345="",COUNTIFS(Accounts!$A$5:$A$50,D345,Accounts!$D$5:$D$50,"Asset")=1),AND(D345="",E345&lt;&gt;"",COUNTIFS(Accounts!$A$5:$A$50,E345,Accounts!$D$5:$D$50,"Asset")=1))),AND(B345="Adjustment",F345="",OR(AND(D345&lt;&gt;"",E345="",COUNTIF(Accounts!$A$5:$A$50,D345)=1),AND(D345="",E345&lt;&gt;"",COUNTIF(Accounts!$A$5:$A$50,E345)=1)))),"OK","CHECK: Type / account / category combination")))</f>
        <v/>
      </c>
    </row>
    <row r="346" spans="1:9">
      <c r="A346" s="56"/>
      <c r="C346" s="57"/>
      <c r="I346" s="13" t="str">
        <f>IF(COUNTA(A346:H346)=0,"",IF(OR(A346="",B346="",C346="",C346&lt;=0),"CHECK: Date, Type and positive Amount required",IF(OR(AND(B346="Income",D346="",E346&lt;&gt;"",F346&lt;&gt;"",COUNTIFS(Accounts!$A$5:$A$50,E346,Accounts!$D$5:$D$50,"Asset")=1,COUNTIFS(Categories!$A$5:$A$100,F346,Categories!$C$5:$C$100,"Income")=1),AND(B346="Expense",D346&lt;&gt;"",E346="",F346&lt;&gt;"",COUNTIF(Accounts!$A$5:$A$50,D346)=1,COUNTIFS(Categories!$A$5:$A$100,F346,Categories!$C$5:$C$100,"Expense")=1),AND(B346="Refund",D346="",E346&lt;&gt;"",F346&lt;&gt;"",COUNTIF(Accounts!$A$5:$A$50,E346)=1,COUNTIFS(Categories!$A$5:$A$100,F346,Categories!$C$5:$C$100,"Expense")=1),AND(B346="Transfer",D346&lt;&gt;"",E346&lt;&gt;"",D346&lt;&gt;E346,F346="",COUNTIF(Accounts!$A$5:$A$50,D346)=1,COUNTIF(Accounts!$A$5:$A$50,E346)=1),AND(B346="Allocation",F346="Savings &amp; Investment",OR(AND(D346&lt;&gt;"",E346="",COUNTIFS(Accounts!$A$5:$A$50,D346,Accounts!$D$5:$D$50,"Asset")=1),AND(D346="",E346&lt;&gt;"",COUNTIFS(Accounts!$A$5:$A$50,E346,Accounts!$D$5:$D$50,"Asset")=1))),AND(B346="Adjustment",F346="",OR(AND(D346&lt;&gt;"",E346="",COUNTIF(Accounts!$A$5:$A$50,D346)=1),AND(D346="",E346&lt;&gt;"",COUNTIF(Accounts!$A$5:$A$50,E346)=1)))),"OK","CHECK: Type / account / category combination")))</f>
        <v/>
      </c>
    </row>
    <row r="347" spans="1:9">
      <c r="A347" s="56"/>
      <c r="C347" s="57"/>
      <c r="I347" s="13" t="str">
        <f>IF(COUNTA(A347:H347)=0,"",IF(OR(A347="",B347="",C347="",C347&lt;=0),"CHECK: Date, Type and positive Amount required",IF(OR(AND(B347="Income",D347="",E347&lt;&gt;"",F347&lt;&gt;"",COUNTIFS(Accounts!$A$5:$A$50,E347,Accounts!$D$5:$D$50,"Asset")=1,COUNTIFS(Categories!$A$5:$A$100,F347,Categories!$C$5:$C$100,"Income")=1),AND(B347="Expense",D347&lt;&gt;"",E347="",F347&lt;&gt;"",COUNTIF(Accounts!$A$5:$A$50,D347)=1,COUNTIFS(Categories!$A$5:$A$100,F347,Categories!$C$5:$C$100,"Expense")=1),AND(B347="Refund",D347="",E347&lt;&gt;"",F347&lt;&gt;"",COUNTIF(Accounts!$A$5:$A$50,E347)=1,COUNTIFS(Categories!$A$5:$A$100,F347,Categories!$C$5:$C$100,"Expense")=1),AND(B347="Transfer",D347&lt;&gt;"",E347&lt;&gt;"",D347&lt;&gt;E347,F347="",COUNTIF(Accounts!$A$5:$A$50,D347)=1,COUNTIF(Accounts!$A$5:$A$50,E347)=1),AND(B347="Allocation",F347="Savings &amp; Investment",OR(AND(D347&lt;&gt;"",E347="",COUNTIFS(Accounts!$A$5:$A$50,D347,Accounts!$D$5:$D$50,"Asset")=1),AND(D347="",E347&lt;&gt;"",COUNTIFS(Accounts!$A$5:$A$50,E347,Accounts!$D$5:$D$50,"Asset")=1))),AND(B347="Adjustment",F347="",OR(AND(D347&lt;&gt;"",E347="",COUNTIF(Accounts!$A$5:$A$50,D347)=1),AND(D347="",E347&lt;&gt;"",COUNTIF(Accounts!$A$5:$A$50,E347)=1)))),"OK","CHECK: Type / account / category combination")))</f>
        <v/>
      </c>
    </row>
    <row r="348" spans="1:9">
      <c r="A348" s="56"/>
      <c r="C348" s="57"/>
      <c r="I348" s="13" t="str">
        <f>IF(COUNTA(A348:H348)=0,"",IF(OR(A348="",B348="",C348="",C348&lt;=0),"CHECK: Date, Type and positive Amount required",IF(OR(AND(B348="Income",D348="",E348&lt;&gt;"",F348&lt;&gt;"",COUNTIFS(Accounts!$A$5:$A$50,E348,Accounts!$D$5:$D$50,"Asset")=1,COUNTIFS(Categories!$A$5:$A$100,F348,Categories!$C$5:$C$100,"Income")=1),AND(B348="Expense",D348&lt;&gt;"",E348="",F348&lt;&gt;"",COUNTIF(Accounts!$A$5:$A$50,D348)=1,COUNTIFS(Categories!$A$5:$A$100,F348,Categories!$C$5:$C$100,"Expense")=1),AND(B348="Refund",D348="",E348&lt;&gt;"",F348&lt;&gt;"",COUNTIF(Accounts!$A$5:$A$50,E348)=1,COUNTIFS(Categories!$A$5:$A$100,F348,Categories!$C$5:$C$100,"Expense")=1),AND(B348="Transfer",D348&lt;&gt;"",E348&lt;&gt;"",D348&lt;&gt;E348,F348="",COUNTIF(Accounts!$A$5:$A$50,D348)=1,COUNTIF(Accounts!$A$5:$A$50,E348)=1),AND(B348="Allocation",F348="Savings &amp; Investment",OR(AND(D348&lt;&gt;"",E348="",COUNTIFS(Accounts!$A$5:$A$50,D348,Accounts!$D$5:$D$50,"Asset")=1),AND(D348="",E348&lt;&gt;"",COUNTIFS(Accounts!$A$5:$A$50,E348,Accounts!$D$5:$D$50,"Asset")=1))),AND(B348="Adjustment",F348="",OR(AND(D348&lt;&gt;"",E348="",COUNTIF(Accounts!$A$5:$A$50,D348)=1),AND(D348="",E348&lt;&gt;"",COUNTIF(Accounts!$A$5:$A$50,E348)=1)))),"OK","CHECK: Type / account / category combination")))</f>
        <v/>
      </c>
    </row>
    <row r="349" spans="1:9">
      <c r="A349" s="56"/>
      <c r="C349" s="57"/>
      <c r="I349" s="13" t="str">
        <f>IF(COUNTA(A349:H349)=0,"",IF(OR(A349="",B349="",C349="",C349&lt;=0),"CHECK: Date, Type and positive Amount required",IF(OR(AND(B349="Income",D349="",E349&lt;&gt;"",F349&lt;&gt;"",COUNTIFS(Accounts!$A$5:$A$50,E349,Accounts!$D$5:$D$50,"Asset")=1,COUNTIFS(Categories!$A$5:$A$100,F349,Categories!$C$5:$C$100,"Income")=1),AND(B349="Expense",D349&lt;&gt;"",E349="",F349&lt;&gt;"",COUNTIF(Accounts!$A$5:$A$50,D349)=1,COUNTIFS(Categories!$A$5:$A$100,F349,Categories!$C$5:$C$100,"Expense")=1),AND(B349="Refund",D349="",E349&lt;&gt;"",F349&lt;&gt;"",COUNTIF(Accounts!$A$5:$A$50,E349)=1,COUNTIFS(Categories!$A$5:$A$100,F349,Categories!$C$5:$C$100,"Expense")=1),AND(B349="Transfer",D349&lt;&gt;"",E349&lt;&gt;"",D349&lt;&gt;E349,F349="",COUNTIF(Accounts!$A$5:$A$50,D349)=1,COUNTIF(Accounts!$A$5:$A$50,E349)=1),AND(B349="Allocation",F349="Savings &amp; Investment",OR(AND(D349&lt;&gt;"",E349="",COUNTIFS(Accounts!$A$5:$A$50,D349,Accounts!$D$5:$D$50,"Asset")=1),AND(D349="",E349&lt;&gt;"",COUNTIFS(Accounts!$A$5:$A$50,E349,Accounts!$D$5:$D$50,"Asset")=1))),AND(B349="Adjustment",F349="",OR(AND(D349&lt;&gt;"",E349="",COUNTIF(Accounts!$A$5:$A$50,D349)=1),AND(D349="",E349&lt;&gt;"",COUNTIF(Accounts!$A$5:$A$50,E349)=1)))),"OK","CHECK: Type / account / category combination")))</f>
        <v/>
      </c>
    </row>
    <row r="350" spans="1:9">
      <c r="A350" s="56"/>
      <c r="C350" s="57"/>
      <c r="I350" s="13" t="str">
        <f>IF(COUNTA(A350:H350)=0,"",IF(OR(A350="",B350="",C350="",C350&lt;=0),"CHECK: Date, Type and positive Amount required",IF(OR(AND(B350="Income",D350="",E350&lt;&gt;"",F350&lt;&gt;"",COUNTIFS(Accounts!$A$5:$A$50,E350,Accounts!$D$5:$D$50,"Asset")=1,COUNTIFS(Categories!$A$5:$A$100,F350,Categories!$C$5:$C$100,"Income")=1),AND(B350="Expense",D350&lt;&gt;"",E350="",F350&lt;&gt;"",COUNTIF(Accounts!$A$5:$A$50,D350)=1,COUNTIFS(Categories!$A$5:$A$100,F350,Categories!$C$5:$C$100,"Expense")=1),AND(B350="Refund",D350="",E350&lt;&gt;"",F350&lt;&gt;"",COUNTIF(Accounts!$A$5:$A$50,E350)=1,COUNTIFS(Categories!$A$5:$A$100,F350,Categories!$C$5:$C$100,"Expense")=1),AND(B350="Transfer",D350&lt;&gt;"",E350&lt;&gt;"",D350&lt;&gt;E350,F350="",COUNTIF(Accounts!$A$5:$A$50,D350)=1,COUNTIF(Accounts!$A$5:$A$50,E350)=1),AND(B350="Allocation",F350="Savings &amp; Investment",OR(AND(D350&lt;&gt;"",E350="",COUNTIFS(Accounts!$A$5:$A$50,D350,Accounts!$D$5:$D$50,"Asset")=1),AND(D350="",E350&lt;&gt;"",COUNTIFS(Accounts!$A$5:$A$50,E350,Accounts!$D$5:$D$50,"Asset")=1))),AND(B350="Adjustment",F350="",OR(AND(D350&lt;&gt;"",E350="",COUNTIF(Accounts!$A$5:$A$50,D350)=1),AND(D350="",E350&lt;&gt;"",COUNTIF(Accounts!$A$5:$A$50,E350)=1)))),"OK","CHECK: Type / account / category combination")))</f>
        <v/>
      </c>
    </row>
    <row r="351" spans="1:9">
      <c r="A351" s="56"/>
      <c r="C351" s="57"/>
      <c r="I351" s="13" t="str">
        <f>IF(COUNTA(A351:H351)=0,"",IF(OR(A351="",B351="",C351="",C351&lt;=0),"CHECK: Date, Type and positive Amount required",IF(OR(AND(B351="Income",D351="",E351&lt;&gt;"",F351&lt;&gt;"",COUNTIFS(Accounts!$A$5:$A$50,E351,Accounts!$D$5:$D$50,"Asset")=1,COUNTIFS(Categories!$A$5:$A$100,F351,Categories!$C$5:$C$100,"Income")=1),AND(B351="Expense",D351&lt;&gt;"",E351="",F351&lt;&gt;"",COUNTIF(Accounts!$A$5:$A$50,D351)=1,COUNTIFS(Categories!$A$5:$A$100,F351,Categories!$C$5:$C$100,"Expense")=1),AND(B351="Refund",D351="",E351&lt;&gt;"",F351&lt;&gt;"",COUNTIF(Accounts!$A$5:$A$50,E351)=1,COUNTIFS(Categories!$A$5:$A$100,F351,Categories!$C$5:$C$100,"Expense")=1),AND(B351="Transfer",D351&lt;&gt;"",E351&lt;&gt;"",D351&lt;&gt;E351,F351="",COUNTIF(Accounts!$A$5:$A$50,D351)=1,COUNTIF(Accounts!$A$5:$A$50,E351)=1),AND(B351="Allocation",F351="Savings &amp; Investment",OR(AND(D351&lt;&gt;"",E351="",COUNTIFS(Accounts!$A$5:$A$50,D351,Accounts!$D$5:$D$50,"Asset")=1),AND(D351="",E351&lt;&gt;"",COUNTIFS(Accounts!$A$5:$A$50,E351,Accounts!$D$5:$D$50,"Asset")=1))),AND(B351="Adjustment",F351="",OR(AND(D351&lt;&gt;"",E351="",COUNTIF(Accounts!$A$5:$A$50,D351)=1),AND(D351="",E351&lt;&gt;"",COUNTIF(Accounts!$A$5:$A$50,E351)=1)))),"OK","CHECK: Type / account / category combination")))</f>
        <v/>
      </c>
    </row>
    <row r="352" spans="1:9">
      <c r="A352" s="56"/>
      <c r="C352" s="57"/>
      <c r="I352" s="13" t="str">
        <f>IF(COUNTA(A352:H352)=0,"",IF(OR(A352="",B352="",C352="",C352&lt;=0),"CHECK: Date, Type and positive Amount required",IF(OR(AND(B352="Income",D352="",E352&lt;&gt;"",F352&lt;&gt;"",COUNTIFS(Accounts!$A$5:$A$50,E352,Accounts!$D$5:$D$50,"Asset")=1,COUNTIFS(Categories!$A$5:$A$100,F352,Categories!$C$5:$C$100,"Income")=1),AND(B352="Expense",D352&lt;&gt;"",E352="",F352&lt;&gt;"",COUNTIF(Accounts!$A$5:$A$50,D352)=1,COUNTIFS(Categories!$A$5:$A$100,F352,Categories!$C$5:$C$100,"Expense")=1),AND(B352="Refund",D352="",E352&lt;&gt;"",F352&lt;&gt;"",COUNTIF(Accounts!$A$5:$A$50,E352)=1,COUNTIFS(Categories!$A$5:$A$100,F352,Categories!$C$5:$C$100,"Expense")=1),AND(B352="Transfer",D352&lt;&gt;"",E352&lt;&gt;"",D352&lt;&gt;E352,F352="",COUNTIF(Accounts!$A$5:$A$50,D352)=1,COUNTIF(Accounts!$A$5:$A$50,E352)=1),AND(B352="Allocation",F352="Savings &amp; Investment",OR(AND(D352&lt;&gt;"",E352="",COUNTIFS(Accounts!$A$5:$A$50,D352,Accounts!$D$5:$D$50,"Asset")=1),AND(D352="",E352&lt;&gt;"",COUNTIFS(Accounts!$A$5:$A$50,E352,Accounts!$D$5:$D$50,"Asset")=1))),AND(B352="Adjustment",F352="",OR(AND(D352&lt;&gt;"",E352="",COUNTIF(Accounts!$A$5:$A$50,D352)=1),AND(D352="",E352&lt;&gt;"",COUNTIF(Accounts!$A$5:$A$50,E352)=1)))),"OK","CHECK: Type / account / category combination")))</f>
        <v/>
      </c>
    </row>
    <row r="353" spans="1:9">
      <c r="A353" s="56"/>
      <c r="C353" s="57"/>
      <c r="I353" s="13" t="str">
        <f>IF(COUNTA(A353:H353)=0,"",IF(OR(A353="",B353="",C353="",C353&lt;=0),"CHECK: Date, Type and positive Amount required",IF(OR(AND(B353="Income",D353="",E353&lt;&gt;"",F353&lt;&gt;"",COUNTIFS(Accounts!$A$5:$A$50,E353,Accounts!$D$5:$D$50,"Asset")=1,COUNTIFS(Categories!$A$5:$A$100,F353,Categories!$C$5:$C$100,"Income")=1),AND(B353="Expense",D353&lt;&gt;"",E353="",F353&lt;&gt;"",COUNTIF(Accounts!$A$5:$A$50,D353)=1,COUNTIFS(Categories!$A$5:$A$100,F353,Categories!$C$5:$C$100,"Expense")=1),AND(B353="Refund",D353="",E353&lt;&gt;"",F353&lt;&gt;"",COUNTIF(Accounts!$A$5:$A$50,E353)=1,COUNTIFS(Categories!$A$5:$A$100,F353,Categories!$C$5:$C$100,"Expense")=1),AND(B353="Transfer",D353&lt;&gt;"",E353&lt;&gt;"",D353&lt;&gt;E353,F353="",COUNTIF(Accounts!$A$5:$A$50,D353)=1,COUNTIF(Accounts!$A$5:$A$50,E353)=1),AND(B353="Allocation",F353="Savings &amp; Investment",OR(AND(D353&lt;&gt;"",E353="",COUNTIFS(Accounts!$A$5:$A$50,D353,Accounts!$D$5:$D$50,"Asset")=1),AND(D353="",E353&lt;&gt;"",COUNTIFS(Accounts!$A$5:$A$50,E353,Accounts!$D$5:$D$50,"Asset")=1))),AND(B353="Adjustment",F353="",OR(AND(D353&lt;&gt;"",E353="",COUNTIF(Accounts!$A$5:$A$50,D353)=1),AND(D353="",E353&lt;&gt;"",COUNTIF(Accounts!$A$5:$A$50,E353)=1)))),"OK","CHECK: Type / account / category combination")))</f>
        <v/>
      </c>
    </row>
    <row r="354" spans="1:9">
      <c r="A354" s="56"/>
      <c r="C354" s="57"/>
      <c r="I354" s="13" t="str">
        <f>IF(COUNTA(A354:H354)=0,"",IF(OR(A354="",B354="",C354="",C354&lt;=0),"CHECK: Date, Type and positive Amount required",IF(OR(AND(B354="Income",D354="",E354&lt;&gt;"",F354&lt;&gt;"",COUNTIFS(Accounts!$A$5:$A$50,E354,Accounts!$D$5:$D$50,"Asset")=1,COUNTIFS(Categories!$A$5:$A$100,F354,Categories!$C$5:$C$100,"Income")=1),AND(B354="Expense",D354&lt;&gt;"",E354="",F354&lt;&gt;"",COUNTIF(Accounts!$A$5:$A$50,D354)=1,COUNTIFS(Categories!$A$5:$A$100,F354,Categories!$C$5:$C$100,"Expense")=1),AND(B354="Refund",D354="",E354&lt;&gt;"",F354&lt;&gt;"",COUNTIF(Accounts!$A$5:$A$50,E354)=1,COUNTIFS(Categories!$A$5:$A$100,F354,Categories!$C$5:$C$100,"Expense")=1),AND(B354="Transfer",D354&lt;&gt;"",E354&lt;&gt;"",D354&lt;&gt;E354,F354="",COUNTIF(Accounts!$A$5:$A$50,D354)=1,COUNTIF(Accounts!$A$5:$A$50,E354)=1),AND(B354="Allocation",F354="Savings &amp; Investment",OR(AND(D354&lt;&gt;"",E354="",COUNTIFS(Accounts!$A$5:$A$50,D354,Accounts!$D$5:$D$50,"Asset")=1),AND(D354="",E354&lt;&gt;"",COUNTIFS(Accounts!$A$5:$A$50,E354,Accounts!$D$5:$D$50,"Asset")=1))),AND(B354="Adjustment",F354="",OR(AND(D354&lt;&gt;"",E354="",COUNTIF(Accounts!$A$5:$A$50,D354)=1),AND(D354="",E354&lt;&gt;"",COUNTIF(Accounts!$A$5:$A$50,E354)=1)))),"OK","CHECK: Type / account / category combination")))</f>
        <v/>
      </c>
    </row>
    <row r="355" spans="1:9">
      <c r="A355" s="56"/>
      <c r="C355" s="57"/>
      <c r="I355" s="13" t="str">
        <f>IF(COUNTA(A355:H355)=0,"",IF(OR(A355="",B355="",C355="",C355&lt;=0),"CHECK: Date, Type and positive Amount required",IF(OR(AND(B355="Income",D355="",E355&lt;&gt;"",F355&lt;&gt;"",COUNTIFS(Accounts!$A$5:$A$50,E355,Accounts!$D$5:$D$50,"Asset")=1,COUNTIFS(Categories!$A$5:$A$100,F355,Categories!$C$5:$C$100,"Income")=1),AND(B355="Expense",D355&lt;&gt;"",E355="",F355&lt;&gt;"",COUNTIF(Accounts!$A$5:$A$50,D355)=1,COUNTIFS(Categories!$A$5:$A$100,F355,Categories!$C$5:$C$100,"Expense")=1),AND(B355="Refund",D355="",E355&lt;&gt;"",F355&lt;&gt;"",COUNTIF(Accounts!$A$5:$A$50,E355)=1,COUNTIFS(Categories!$A$5:$A$100,F355,Categories!$C$5:$C$100,"Expense")=1),AND(B355="Transfer",D355&lt;&gt;"",E355&lt;&gt;"",D355&lt;&gt;E355,F355="",COUNTIF(Accounts!$A$5:$A$50,D355)=1,COUNTIF(Accounts!$A$5:$A$50,E355)=1),AND(B355="Allocation",F355="Savings &amp; Investment",OR(AND(D355&lt;&gt;"",E355="",COUNTIFS(Accounts!$A$5:$A$50,D355,Accounts!$D$5:$D$50,"Asset")=1),AND(D355="",E355&lt;&gt;"",COUNTIFS(Accounts!$A$5:$A$50,E355,Accounts!$D$5:$D$50,"Asset")=1))),AND(B355="Adjustment",F355="",OR(AND(D355&lt;&gt;"",E355="",COUNTIF(Accounts!$A$5:$A$50,D355)=1),AND(D355="",E355&lt;&gt;"",COUNTIF(Accounts!$A$5:$A$50,E355)=1)))),"OK","CHECK: Type / account / category combination")))</f>
        <v/>
      </c>
    </row>
    <row r="356" spans="1:9">
      <c r="A356" s="56"/>
      <c r="C356" s="57"/>
      <c r="I356" s="13" t="str">
        <f>IF(COUNTA(A356:H356)=0,"",IF(OR(A356="",B356="",C356="",C356&lt;=0),"CHECK: Date, Type and positive Amount required",IF(OR(AND(B356="Income",D356="",E356&lt;&gt;"",F356&lt;&gt;"",COUNTIFS(Accounts!$A$5:$A$50,E356,Accounts!$D$5:$D$50,"Asset")=1,COUNTIFS(Categories!$A$5:$A$100,F356,Categories!$C$5:$C$100,"Income")=1),AND(B356="Expense",D356&lt;&gt;"",E356="",F356&lt;&gt;"",COUNTIF(Accounts!$A$5:$A$50,D356)=1,COUNTIFS(Categories!$A$5:$A$100,F356,Categories!$C$5:$C$100,"Expense")=1),AND(B356="Refund",D356="",E356&lt;&gt;"",F356&lt;&gt;"",COUNTIF(Accounts!$A$5:$A$50,E356)=1,COUNTIFS(Categories!$A$5:$A$100,F356,Categories!$C$5:$C$100,"Expense")=1),AND(B356="Transfer",D356&lt;&gt;"",E356&lt;&gt;"",D356&lt;&gt;E356,F356="",COUNTIF(Accounts!$A$5:$A$50,D356)=1,COUNTIF(Accounts!$A$5:$A$50,E356)=1),AND(B356="Allocation",F356="Savings &amp; Investment",OR(AND(D356&lt;&gt;"",E356="",COUNTIFS(Accounts!$A$5:$A$50,D356,Accounts!$D$5:$D$50,"Asset")=1),AND(D356="",E356&lt;&gt;"",COUNTIFS(Accounts!$A$5:$A$50,E356,Accounts!$D$5:$D$50,"Asset")=1))),AND(B356="Adjustment",F356="",OR(AND(D356&lt;&gt;"",E356="",COUNTIF(Accounts!$A$5:$A$50,D356)=1),AND(D356="",E356&lt;&gt;"",COUNTIF(Accounts!$A$5:$A$50,E356)=1)))),"OK","CHECK: Type / account / category combination")))</f>
        <v/>
      </c>
    </row>
    <row r="357" spans="1:9">
      <c r="A357" s="56"/>
      <c r="C357" s="57"/>
      <c r="I357" s="13" t="str">
        <f>IF(COUNTA(A357:H357)=0,"",IF(OR(A357="",B357="",C357="",C357&lt;=0),"CHECK: Date, Type and positive Amount required",IF(OR(AND(B357="Income",D357="",E357&lt;&gt;"",F357&lt;&gt;"",COUNTIFS(Accounts!$A$5:$A$50,E357,Accounts!$D$5:$D$50,"Asset")=1,COUNTIFS(Categories!$A$5:$A$100,F357,Categories!$C$5:$C$100,"Income")=1),AND(B357="Expense",D357&lt;&gt;"",E357="",F357&lt;&gt;"",COUNTIF(Accounts!$A$5:$A$50,D357)=1,COUNTIFS(Categories!$A$5:$A$100,F357,Categories!$C$5:$C$100,"Expense")=1),AND(B357="Refund",D357="",E357&lt;&gt;"",F357&lt;&gt;"",COUNTIF(Accounts!$A$5:$A$50,E357)=1,COUNTIFS(Categories!$A$5:$A$100,F357,Categories!$C$5:$C$100,"Expense")=1),AND(B357="Transfer",D357&lt;&gt;"",E357&lt;&gt;"",D357&lt;&gt;E357,F357="",COUNTIF(Accounts!$A$5:$A$50,D357)=1,COUNTIF(Accounts!$A$5:$A$50,E357)=1),AND(B357="Allocation",F357="Savings &amp; Investment",OR(AND(D357&lt;&gt;"",E357="",COUNTIFS(Accounts!$A$5:$A$50,D357,Accounts!$D$5:$D$50,"Asset")=1),AND(D357="",E357&lt;&gt;"",COUNTIFS(Accounts!$A$5:$A$50,E357,Accounts!$D$5:$D$50,"Asset")=1))),AND(B357="Adjustment",F357="",OR(AND(D357&lt;&gt;"",E357="",COUNTIF(Accounts!$A$5:$A$50,D357)=1),AND(D357="",E357&lt;&gt;"",COUNTIF(Accounts!$A$5:$A$50,E357)=1)))),"OK","CHECK: Type / account / category combination")))</f>
        <v/>
      </c>
    </row>
    <row r="358" spans="1:9">
      <c r="A358" s="56"/>
      <c r="C358" s="57"/>
      <c r="I358" s="13" t="str">
        <f>IF(COUNTA(A358:H358)=0,"",IF(OR(A358="",B358="",C358="",C358&lt;=0),"CHECK: Date, Type and positive Amount required",IF(OR(AND(B358="Income",D358="",E358&lt;&gt;"",F358&lt;&gt;"",COUNTIFS(Accounts!$A$5:$A$50,E358,Accounts!$D$5:$D$50,"Asset")=1,COUNTIFS(Categories!$A$5:$A$100,F358,Categories!$C$5:$C$100,"Income")=1),AND(B358="Expense",D358&lt;&gt;"",E358="",F358&lt;&gt;"",COUNTIF(Accounts!$A$5:$A$50,D358)=1,COUNTIFS(Categories!$A$5:$A$100,F358,Categories!$C$5:$C$100,"Expense")=1),AND(B358="Refund",D358="",E358&lt;&gt;"",F358&lt;&gt;"",COUNTIF(Accounts!$A$5:$A$50,E358)=1,COUNTIFS(Categories!$A$5:$A$100,F358,Categories!$C$5:$C$100,"Expense")=1),AND(B358="Transfer",D358&lt;&gt;"",E358&lt;&gt;"",D358&lt;&gt;E358,F358="",COUNTIF(Accounts!$A$5:$A$50,D358)=1,COUNTIF(Accounts!$A$5:$A$50,E358)=1),AND(B358="Allocation",F358="Savings &amp; Investment",OR(AND(D358&lt;&gt;"",E358="",COUNTIFS(Accounts!$A$5:$A$50,D358,Accounts!$D$5:$D$50,"Asset")=1),AND(D358="",E358&lt;&gt;"",COUNTIFS(Accounts!$A$5:$A$50,E358,Accounts!$D$5:$D$50,"Asset")=1))),AND(B358="Adjustment",F358="",OR(AND(D358&lt;&gt;"",E358="",COUNTIF(Accounts!$A$5:$A$50,D358)=1),AND(D358="",E358&lt;&gt;"",COUNTIF(Accounts!$A$5:$A$50,E358)=1)))),"OK","CHECK: Type / account / category combination")))</f>
        <v/>
      </c>
    </row>
    <row r="359" spans="1:9">
      <c r="A359" s="56"/>
      <c r="C359" s="57"/>
      <c r="I359" s="13" t="str">
        <f>IF(COUNTA(A359:H359)=0,"",IF(OR(A359="",B359="",C359="",C359&lt;=0),"CHECK: Date, Type and positive Amount required",IF(OR(AND(B359="Income",D359="",E359&lt;&gt;"",F359&lt;&gt;"",COUNTIFS(Accounts!$A$5:$A$50,E359,Accounts!$D$5:$D$50,"Asset")=1,COUNTIFS(Categories!$A$5:$A$100,F359,Categories!$C$5:$C$100,"Income")=1),AND(B359="Expense",D359&lt;&gt;"",E359="",F359&lt;&gt;"",COUNTIF(Accounts!$A$5:$A$50,D359)=1,COUNTIFS(Categories!$A$5:$A$100,F359,Categories!$C$5:$C$100,"Expense")=1),AND(B359="Refund",D359="",E359&lt;&gt;"",F359&lt;&gt;"",COUNTIF(Accounts!$A$5:$A$50,E359)=1,COUNTIFS(Categories!$A$5:$A$100,F359,Categories!$C$5:$C$100,"Expense")=1),AND(B359="Transfer",D359&lt;&gt;"",E359&lt;&gt;"",D359&lt;&gt;E359,F359="",COUNTIF(Accounts!$A$5:$A$50,D359)=1,COUNTIF(Accounts!$A$5:$A$50,E359)=1),AND(B359="Allocation",F359="Savings &amp; Investment",OR(AND(D359&lt;&gt;"",E359="",COUNTIFS(Accounts!$A$5:$A$50,D359,Accounts!$D$5:$D$50,"Asset")=1),AND(D359="",E359&lt;&gt;"",COUNTIFS(Accounts!$A$5:$A$50,E359,Accounts!$D$5:$D$50,"Asset")=1))),AND(B359="Adjustment",F359="",OR(AND(D359&lt;&gt;"",E359="",COUNTIF(Accounts!$A$5:$A$50,D359)=1),AND(D359="",E359&lt;&gt;"",COUNTIF(Accounts!$A$5:$A$50,E359)=1)))),"OK","CHECK: Type / account / category combination")))</f>
        <v/>
      </c>
    </row>
    <row r="360" spans="1:9">
      <c r="A360" s="56"/>
      <c r="C360" s="57"/>
      <c r="I360" s="13" t="str">
        <f>IF(COUNTA(A360:H360)=0,"",IF(OR(A360="",B360="",C360="",C360&lt;=0),"CHECK: Date, Type and positive Amount required",IF(OR(AND(B360="Income",D360="",E360&lt;&gt;"",F360&lt;&gt;"",COUNTIFS(Accounts!$A$5:$A$50,E360,Accounts!$D$5:$D$50,"Asset")=1,COUNTIFS(Categories!$A$5:$A$100,F360,Categories!$C$5:$C$100,"Income")=1),AND(B360="Expense",D360&lt;&gt;"",E360="",F360&lt;&gt;"",COUNTIF(Accounts!$A$5:$A$50,D360)=1,COUNTIFS(Categories!$A$5:$A$100,F360,Categories!$C$5:$C$100,"Expense")=1),AND(B360="Refund",D360="",E360&lt;&gt;"",F360&lt;&gt;"",COUNTIF(Accounts!$A$5:$A$50,E360)=1,COUNTIFS(Categories!$A$5:$A$100,F360,Categories!$C$5:$C$100,"Expense")=1),AND(B360="Transfer",D360&lt;&gt;"",E360&lt;&gt;"",D360&lt;&gt;E360,F360="",COUNTIF(Accounts!$A$5:$A$50,D360)=1,COUNTIF(Accounts!$A$5:$A$50,E360)=1),AND(B360="Allocation",F360="Savings &amp; Investment",OR(AND(D360&lt;&gt;"",E360="",COUNTIFS(Accounts!$A$5:$A$50,D360,Accounts!$D$5:$D$50,"Asset")=1),AND(D360="",E360&lt;&gt;"",COUNTIFS(Accounts!$A$5:$A$50,E360,Accounts!$D$5:$D$50,"Asset")=1))),AND(B360="Adjustment",F360="",OR(AND(D360&lt;&gt;"",E360="",COUNTIF(Accounts!$A$5:$A$50,D360)=1),AND(D360="",E360&lt;&gt;"",COUNTIF(Accounts!$A$5:$A$50,E360)=1)))),"OK","CHECK: Type / account / category combination")))</f>
        <v/>
      </c>
    </row>
    <row r="361" spans="1:9">
      <c r="A361" s="56"/>
      <c r="C361" s="57"/>
      <c r="I361" s="13" t="str">
        <f>IF(COUNTA(A361:H361)=0,"",IF(OR(A361="",B361="",C361="",C361&lt;=0),"CHECK: Date, Type and positive Amount required",IF(OR(AND(B361="Income",D361="",E361&lt;&gt;"",F361&lt;&gt;"",COUNTIFS(Accounts!$A$5:$A$50,E361,Accounts!$D$5:$D$50,"Asset")=1,COUNTIFS(Categories!$A$5:$A$100,F361,Categories!$C$5:$C$100,"Income")=1),AND(B361="Expense",D361&lt;&gt;"",E361="",F361&lt;&gt;"",COUNTIF(Accounts!$A$5:$A$50,D361)=1,COUNTIFS(Categories!$A$5:$A$100,F361,Categories!$C$5:$C$100,"Expense")=1),AND(B361="Refund",D361="",E361&lt;&gt;"",F361&lt;&gt;"",COUNTIF(Accounts!$A$5:$A$50,E361)=1,COUNTIFS(Categories!$A$5:$A$100,F361,Categories!$C$5:$C$100,"Expense")=1),AND(B361="Transfer",D361&lt;&gt;"",E361&lt;&gt;"",D361&lt;&gt;E361,F361="",COUNTIF(Accounts!$A$5:$A$50,D361)=1,COUNTIF(Accounts!$A$5:$A$50,E361)=1),AND(B361="Allocation",F361="Savings &amp; Investment",OR(AND(D361&lt;&gt;"",E361="",COUNTIFS(Accounts!$A$5:$A$50,D361,Accounts!$D$5:$D$50,"Asset")=1),AND(D361="",E361&lt;&gt;"",COUNTIFS(Accounts!$A$5:$A$50,E361,Accounts!$D$5:$D$50,"Asset")=1))),AND(B361="Adjustment",F361="",OR(AND(D361&lt;&gt;"",E361="",COUNTIF(Accounts!$A$5:$A$50,D361)=1),AND(D361="",E361&lt;&gt;"",COUNTIF(Accounts!$A$5:$A$50,E361)=1)))),"OK","CHECK: Type / account / category combination")))</f>
        <v/>
      </c>
    </row>
    <row r="362" spans="1:9">
      <c r="A362" s="56"/>
      <c r="C362" s="57"/>
      <c r="I362" s="13" t="str">
        <f>IF(COUNTA(A362:H362)=0,"",IF(OR(A362="",B362="",C362="",C362&lt;=0),"CHECK: Date, Type and positive Amount required",IF(OR(AND(B362="Income",D362="",E362&lt;&gt;"",F362&lt;&gt;"",COUNTIFS(Accounts!$A$5:$A$50,E362,Accounts!$D$5:$D$50,"Asset")=1,COUNTIFS(Categories!$A$5:$A$100,F362,Categories!$C$5:$C$100,"Income")=1),AND(B362="Expense",D362&lt;&gt;"",E362="",F362&lt;&gt;"",COUNTIF(Accounts!$A$5:$A$50,D362)=1,COUNTIFS(Categories!$A$5:$A$100,F362,Categories!$C$5:$C$100,"Expense")=1),AND(B362="Refund",D362="",E362&lt;&gt;"",F362&lt;&gt;"",COUNTIF(Accounts!$A$5:$A$50,E362)=1,COUNTIFS(Categories!$A$5:$A$100,F362,Categories!$C$5:$C$100,"Expense")=1),AND(B362="Transfer",D362&lt;&gt;"",E362&lt;&gt;"",D362&lt;&gt;E362,F362="",COUNTIF(Accounts!$A$5:$A$50,D362)=1,COUNTIF(Accounts!$A$5:$A$50,E362)=1),AND(B362="Allocation",F362="Savings &amp; Investment",OR(AND(D362&lt;&gt;"",E362="",COUNTIFS(Accounts!$A$5:$A$50,D362,Accounts!$D$5:$D$50,"Asset")=1),AND(D362="",E362&lt;&gt;"",COUNTIFS(Accounts!$A$5:$A$50,E362,Accounts!$D$5:$D$50,"Asset")=1))),AND(B362="Adjustment",F362="",OR(AND(D362&lt;&gt;"",E362="",COUNTIF(Accounts!$A$5:$A$50,D362)=1),AND(D362="",E362&lt;&gt;"",COUNTIF(Accounts!$A$5:$A$50,E362)=1)))),"OK","CHECK: Type / account / category combination")))</f>
        <v/>
      </c>
    </row>
    <row r="363" spans="1:9">
      <c r="A363" s="56"/>
      <c r="C363" s="57"/>
      <c r="I363" s="13" t="str">
        <f>IF(COUNTA(A363:H363)=0,"",IF(OR(A363="",B363="",C363="",C363&lt;=0),"CHECK: Date, Type and positive Amount required",IF(OR(AND(B363="Income",D363="",E363&lt;&gt;"",F363&lt;&gt;"",COUNTIFS(Accounts!$A$5:$A$50,E363,Accounts!$D$5:$D$50,"Asset")=1,COUNTIFS(Categories!$A$5:$A$100,F363,Categories!$C$5:$C$100,"Income")=1),AND(B363="Expense",D363&lt;&gt;"",E363="",F363&lt;&gt;"",COUNTIF(Accounts!$A$5:$A$50,D363)=1,COUNTIFS(Categories!$A$5:$A$100,F363,Categories!$C$5:$C$100,"Expense")=1),AND(B363="Refund",D363="",E363&lt;&gt;"",F363&lt;&gt;"",COUNTIF(Accounts!$A$5:$A$50,E363)=1,COUNTIFS(Categories!$A$5:$A$100,F363,Categories!$C$5:$C$100,"Expense")=1),AND(B363="Transfer",D363&lt;&gt;"",E363&lt;&gt;"",D363&lt;&gt;E363,F363="",COUNTIF(Accounts!$A$5:$A$50,D363)=1,COUNTIF(Accounts!$A$5:$A$50,E363)=1),AND(B363="Allocation",F363="Savings &amp; Investment",OR(AND(D363&lt;&gt;"",E363="",COUNTIFS(Accounts!$A$5:$A$50,D363,Accounts!$D$5:$D$50,"Asset")=1),AND(D363="",E363&lt;&gt;"",COUNTIFS(Accounts!$A$5:$A$50,E363,Accounts!$D$5:$D$50,"Asset")=1))),AND(B363="Adjustment",F363="",OR(AND(D363&lt;&gt;"",E363="",COUNTIF(Accounts!$A$5:$A$50,D363)=1),AND(D363="",E363&lt;&gt;"",COUNTIF(Accounts!$A$5:$A$50,E363)=1)))),"OK","CHECK: Type / account / category combination")))</f>
        <v/>
      </c>
    </row>
    <row r="364" spans="1:9">
      <c r="A364" s="56"/>
      <c r="C364" s="57"/>
      <c r="I364" s="13" t="str">
        <f>IF(COUNTA(A364:H364)=0,"",IF(OR(A364="",B364="",C364="",C364&lt;=0),"CHECK: Date, Type and positive Amount required",IF(OR(AND(B364="Income",D364="",E364&lt;&gt;"",F364&lt;&gt;"",COUNTIFS(Accounts!$A$5:$A$50,E364,Accounts!$D$5:$D$50,"Asset")=1,COUNTIFS(Categories!$A$5:$A$100,F364,Categories!$C$5:$C$100,"Income")=1),AND(B364="Expense",D364&lt;&gt;"",E364="",F364&lt;&gt;"",COUNTIF(Accounts!$A$5:$A$50,D364)=1,COUNTIFS(Categories!$A$5:$A$100,F364,Categories!$C$5:$C$100,"Expense")=1),AND(B364="Refund",D364="",E364&lt;&gt;"",F364&lt;&gt;"",COUNTIF(Accounts!$A$5:$A$50,E364)=1,COUNTIFS(Categories!$A$5:$A$100,F364,Categories!$C$5:$C$100,"Expense")=1),AND(B364="Transfer",D364&lt;&gt;"",E364&lt;&gt;"",D364&lt;&gt;E364,F364="",COUNTIF(Accounts!$A$5:$A$50,D364)=1,COUNTIF(Accounts!$A$5:$A$50,E364)=1),AND(B364="Allocation",F364="Savings &amp; Investment",OR(AND(D364&lt;&gt;"",E364="",COUNTIFS(Accounts!$A$5:$A$50,D364,Accounts!$D$5:$D$50,"Asset")=1),AND(D364="",E364&lt;&gt;"",COUNTIFS(Accounts!$A$5:$A$50,E364,Accounts!$D$5:$D$50,"Asset")=1))),AND(B364="Adjustment",F364="",OR(AND(D364&lt;&gt;"",E364="",COUNTIF(Accounts!$A$5:$A$50,D364)=1),AND(D364="",E364&lt;&gt;"",COUNTIF(Accounts!$A$5:$A$50,E364)=1)))),"OK","CHECK: Type / account / category combination")))</f>
        <v/>
      </c>
    </row>
    <row r="365" spans="1:9">
      <c r="A365" s="56"/>
      <c r="C365" s="57"/>
      <c r="I365" s="13" t="str">
        <f>IF(COUNTA(A365:H365)=0,"",IF(OR(A365="",B365="",C365="",C365&lt;=0),"CHECK: Date, Type and positive Amount required",IF(OR(AND(B365="Income",D365="",E365&lt;&gt;"",F365&lt;&gt;"",COUNTIFS(Accounts!$A$5:$A$50,E365,Accounts!$D$5:$D$50,"Asset")=1,COUNTIFS(Categories!$A$5:$A$100,F365,Categories!$C$5:$C$100,"Income")=1),AND(B365="Expense",D365&lt;&gt;"",E365="",F365&lt;&gt;"",COUNTIF(Accounts!$A$5:$A$50,D365)=1,COUNTIFS(Categories!$A$5:$A$100,F365,Categories!$C$5:$C$100,"Expense")=1),AND(B365="Refund",D365="",E365&lt;&gt;"",F365&lt;&gt;"",COUNTIF(Accounts!$A$5:$A$50,E365)=1,COUNTIFS(Categories!$A$5:$A$100,F365,Categories!$C$5:$C$100,"Expense")=1),AND(B365="Transfer",D365&lt;&gt;"",E365&lt;&gt;"",D365&lt;&gt;E365,F365="",COUNTIF(Accounts!$A$5:$A$50,D365)=1,COUNTIF(Accounts!$A$5:$A$50,E365)=1),AND(B365="Allocation",F365="Savings &amp; Investment",OR(AND(D365&lt;&gt;"",E365="",COUNTIFS(Accounts!$A$5:$A$50,D365,Accounts!$D$5:$D$50,"Asset")=1),AND(D365="",E365&lt;&gt;"",COUNTIFS(Accounts!$A$5:$A$50,E365,Accounts!$D$5:$D$50,"Asset")=1))),AND(B365="Adjustment",F365="",OR(AND(D365&lt;&gt;"",E365="",COUNTIF(Accounts!$A$5:$A$50,D365)=1),AND(D365="",E365&lt;&gt;"",COUNTIF(Accounts!$A$5:$A$50,E365)=1)))),"OK","CHECK: Type / account / category combination")))</f>
        <v/>
      </c>
    </row>
    <row r="366" spans="1:9">
      <c r="A366" s="56"/>
      <c r="C366" s="57"/>
      <c r="I366" s="13" t="str">
        <f>IF(COUNTA(A366:H366)=0,"",IF(OR(A366="",B366="",C366="",C366&lt;=0),"CHECK: Date, Type and positive Amount required",IF(OR(AND(B366="Income",D366="",E366&lt;&gt;"",F366&lt;&gt;"",COUNTIFS(Accounts!$A$5:$A$50,E366,Accounts!$D$5:$D$50,"Asset")=1,COUNTIFS(Categories!$A$5:$A$100,F366,Categories!$C$5:$C$100,"Income")=1),AND(B366="Expense",D366&lt;&gt;"",E366="",F366&lt;&gt;"",COUNTIF(Accounts!$A$5:$A$50,D366)=1,COUNTIFS(Categories!$A$5:$A$100,F366,Categories!$C$5:$C$100,"Expense")=1),AND(B366="Refund",D366="",E366&lt;&gt;"",F366&lt;&gt;"",COUNTIF(Accounts!$A$5:$A$50,E366)=1,COUNTIFS(Categories!$A$5:$A$100,F366,Categories!$C$5:$C$100,"Expense")=1),AND(B366="Transfer",D366&lt;&gt;"",E366&lt;&gt;"",D366&lt;&gt;E366,F366="",COUNTIF(Accounts!$A$5:$A$50,D366)=1,COUNTIF(Accounts!$A$5:$A$50,E366)=1),AND(B366="Allocation",F366="Savings &amp; Investment",OR(AND(D366&lt;&gt;"",E366="",COUNTIFS(Accounts!$A$5:$A$50,D366,Accounts!$D$5:$D$50,"Asset")=1),AND(D366="",E366&lt;&gt;"",COUNTIFS(Accounts!$A$5:$A$50,E366,Accounts!$D$5:$D$50,"Asset")=1))),AND(B366="Adjustment",F366="",OR(AND(D366&lt;&gt;"",E366="",COUNTIF(Accounts!$A$5:$A$50,D366)=1),AND(D366="",E366&lt;&gt;"",COUNTIF(Accounts!$A$5:$A$50,E366)=1)))),"OK","CHECK: Type / account / category combination")))</f>
        <v/>
      </c>
    </row>
    <row r="367" spans="1:9">
      <c r="A367" s="56"/>
      <c r="C367" s="57"/>
      <c r="I367" s="13" t="str">
        <f>IF(COUNTA(A367:H367)=0,"",IF(OR(A367="",B367="",C367="",C367&lt;=0),"CHECK: Date, Type and positive Amount required",IF(OR(AND(B367="Income",D367="",E367&lt;&gt;"",F367&lt;&gt;"",COUNTIFS(Accounts!$A$5:$A$50,E367,Accounts!$D$5:$D$50,"Asset")=1,COUNTIFS(Categories!$A$5:$A$100,F367,Categories!$C$5:$C$100,"Income")=1),AND(B367="Expense",D367&lt;&gt;"",E367="",F367&lt;&gt;"",COUNTIF(Accounts!$A$5:$A$50,D367)=1,COUNTIFS(Categories!$A$5:$A$100,F367,Categories!$C$5:$C$100,"Expense")=1),AND(B367="Refund",D367="",E367&lt;&gt;"",F367&lt;&gt;"",COUNTIF(Accounts!$A$5:$A$50,E367)=1,COUNTIFS(Categories!$A$5:$A$100,F367,Categories!$C$5:$C$100,"Expense")=1),AND(B367="Transfer",D367&lt;&gt;"",E367&lt;&gt;"",D367&lt;&gt;E367,F367="",COUNTIF(Accounts!$A$5:$A$50,D367)=1,COUNTIF(Accounts!$A$5:$A$50,E367)=1),AND(B367="Allocation",F367="Savings &amp; Investment",OR(AND(D367&lt;&gt;"",E367="",COUNTIFS(Accounts!$A$5:$A$50,D367,Accounts!$D$5:$D$50,"Asset")=1),AND(D367="",E367&lt;&gt;"",COUNTIFS(Accounts!$A$5:$A$50,E367,Accounts!$D$5:$D$50,"Asset")=1))),AND(B367="Adjustment",F367="",OR(AND(D367&lt;&gt;"",E367="",COUNTIF(Accounts!$A$5:$A$50,D367)=1),AND(D367="",E367&lt;&gt;"",COUNTIF(Accounts!$A$5:$A$50,E367)=1)))),"OK","CHECK: Type / account / category combination")))</f>
        <v/>
      </c>
    </row>
    <row r="368" spans="1:9">
      <c r="A368" s="56"/>
      <c r="C368" s="57"/>
      <c r="I368" s="13" t="str">
        <f>IF(COUNTA(A368:H368)=0,"",IF(OR(A368="",B368="",C368="",C368&lt;=0),"CHECK: Date, Type and positive Amount required",IF(OR(AND(B368="Income",D368="",E368&lt;&gt;"",F368&lt;&gt;"",COUNTIFS(Accounts!$A$5:$A$50,E368,Accounts!$D$5:$D$50,"Asset")=1,COUNTIFS(Categories!$A$5:$A$100,F368,Categories!$C$5:$C$100,"Income")=1),AND(B368="Expense",D368&lt;&gt;"",E368="",F368&lt;&gt;"",COUNTIF(Accounts!$A$5:$A$50,D368)=1,COUNTIFS(Categories!$A$5:$A$100,F368,Categories!$C$5:$C$100,"Expense")=1),AND(B368="Refund",D368="",E368&lt;&gt;"",F368&lt;&gt;"",COUNTIF(Accounts!$A$5:$A$50,E368)=1,COUNTIFS(Categories!$A$5:$A$100,F368,Categories!$C$5:$C$100,"Expense")=1),AND(B368="Transfer",D368&lt;&gt;"",E368&lt;&gt;"",D368&lt;&gt;E368,F368="",COUNTIF(Accounts!$A$5:$A$50,D368)=1,COUNTIF(Accounts!$A$5:$A$50,E368)=1),AND(B368="Allocation",F368="Savings &amp; Investment",OR(AND(D368&lt;&gt;"",E368="",COUNTIFS(Accounts!$A$5:$A$50,D368,Accounts!$D$5:$D$50,"Asset")=1),AND(D368="",E368&lt;&gt;"",COUNTIFS(Accounts!$A$5:$A$50,E368,Accounts!$D$5:$D$50,"Asset")=1))),AND(B368="Adjustment",F368="",OR(AND(D368&lt;&gt;"",E368="",COUNTIF(Accounts!$A$5:$A$50,D368)=1),AND(D368="",E368&lt;&gt;"",COUNTIF(Accounts!$A$5:$A$50,E368)=1)))),"OK","CHECK: Type / account / category combination")))</f>
        <v/>
      </c>
    </row>
    <row r="369" spans="1:9">
      <c r="A369" s="56"/>
      <c r="C369" s="57"/>
      <c r="I369" s="13" t="str">
        <f>IF(COUNTA(A369:H369)=0,"",IF(OR(A369="",B369="",C369="",C369&lt;=0),"CHECK: Date, Type and positive Amount required",IF(OR(AND(B369="Income",D369="",E369&lt;&gt;"",F369&lt;&gt;"",COUNTIFS(Accounts!$A$5:$A$50,E369,Accounts!$D$5:$D$50,"Asset")=1,COUNTIFS(Categories!$A$5:$A$100,F369,Categories!$C$5:$C$100,"Income")=1),AND(B369="Expense",D369&lt;&gt;"",E369="",F369&lt;&gt;"",COUNTIF(Accounts!$A$5:$A$50,D369)=1,COUNTIFS(Categories!$A$5:$A$100,F369,Categories!$C$5:$C$100,"Expense")=1),AND(B369="Refund",D369="",E369&lt;&gt;"",F369&lt;&gt;"",COUNTIF(Accounts!$A$5:$A$50,E369)=1,COUNTIFS(Categories!$A$5:$A$100,F369,Categories!$C$5:$C$100,"Expense")=1),AND(B369="Transfer",D369&lt;&gt;"",E369&lt;&gt;"",D369&lt;&gt;E369,F369="",COUNTIF(Accounts!$A$5:$A$50,D369)=1,COUNTIF(Accounts!$A$5:$A$50,E369)=1),AND(B369="Allocation",F369="Savings &amp; Investment",OR(AND(D369&lt;&gt;"",E369="",COUNTIFS(Accounts!$A$5:$A$50,D369,Accounts!$D$5:$D$50,"Asset")=1),AND(D369="",E369&lt;&gt;"",COUNTIFS(Accounts!$A$5:$A$50,E369,Accounts!$D$5:$D$50,"Asset")=1))),AND(B369="Adjustment",F369="",OR(AND(D369&lt;&gt;"",E369="",COUNTIF(Accounts!$A$5:$A$50,D369)=1),AND(D369="",E369&lt;&gt;"",COUNTIF(Accounts!$A$5:$A$50,E369)=1)))),"OK","CHECK: Type / account / category combination")))</f>
        <v/>
      </c>
    </row>
    <row r="370" spans="1:9">
      <c r="A370" s="56"/>
      <c r="C370" s="57"/>
      <c r="I370" s="13" t="str">
        <f>IF(COUNTA(A370:H370)=0,"",IF(OR(A370="",B370="",C370="",C370&lt;=0),"CHECK: Date, Type and positive Amount required",IF(OR(AND(B370="Income",D370="",E370&lt;&gt;"",F370&lt;&gt;"",COUNTIFS(Accounts!$A$5:$A$50,E370,Accounts!$D$5:$D$50,"Asset")=1,COUNTIFS(Categories!$A$5:$A$100,F370,Categories!$C$5:$C$100,"Income")=1),AND(B370="Expense",D370&lt;&gt;"",E370="",F370&lt;&gt;"",COUNTIF(Accounts!$A$5:$A$50,D370)=1,COUNTIFS(Categories!$A$5:$A$100,F370,Categories!$C$5:$C$100,"Expense")=1),AND(B370="Refund",D370="",E370&lt;&gt;"",F370&lt;&gt;"",COUNTIF(Accounts!$A$5:$A$50,E370)=1,COUNTIFS(Categories!$A$5:$A$100,F370,Categories!$C$5:$C$100,"Expense")=1),AND(B370="Transfer",D370&lt;&gt;"",E370&lt;&gt;"",D370&lt;&gt;E370,F370="",COUNTIF(Accounts!$A$5:$A$50,D370)=1,COUNTIF(Accounts!$A$5:$A$50,E370)=1),AND(B370="Allocation",F370="Savings &amp; Investment",OR(AND(D370&lt;&gt;"",E370="",COUNTIFS(Accounts!$A$5:$A$50,D370,Accounts!$D$5:$D$50,"Asset")=1),AND(D370="",E370&lt;&gt;"",COUNTIFS(Accounts!$A$5:$A$50,E370,Accounts!$D$5:$D$50,"Asset")=1))),AND(B370="Adjustment",F370="",OR(AND(D370&lt;&gt;"",E370="",COUNTIF(Accounts!$A$5:$A$50,D370)=1),AND(D370="",E370&lt;&gt;"",COUNTIF(Accounts!$A$5:$A$50,E370)=1)))),"OK","CHECK: Type / account / category combination")))</f>
        <v/>
      </c>
    </row>
    <row r="371" spans="1:9">
      <c r="A371" s="56"/>
      <c r="C371" s="57"/>
      <c r="I371" s="13" t="str">
        <f>IF(COUNTA(A371:H371)=0,"",IF(OR(A371="",B371="",C371="",C371&lt;=0),"CHECK: Date, Type and positive Amount required",IF(OR(AND(B371="Income",D371="",E371&lt;&gt;"",F371&lt;&gt;"",COUNTIFS(Accounts!$A$5:$A$50,E371,Accounts!$D$5:$D$50,"Asset")=1,COUNTIFS(Categories!$A$5:$A$100,F371,Categories!$C$5:$C$100,"Income")=1),AND(B371="Expense",D371&lt;&gt;"",E371="",F371&lt;&gt;"",COUNTIF(Accounts!$A$5:$A$50,D371)=1,COUNTIFS(Categories!$A$5:$A$100,F371,Categories!$C$5:$C$100,"Expense")=1),AND(B371="Refund",D371="",E371&lt;&gt;"",F371&lt;&gt;"",COUNTIF(Accounts!$A$5:$A$50,E371)=1,COUNTIFS(Categories!$A$5:$A$100,F371,Categories!$C$5:$C$100,"Expense")=1),AND(B371="Transfer",D371&lt;&gt;"",E371&lt;&gt;"",D371&lt;&gt;E371,F371="",COUNTIF(Accounts!$A$5:$A$50,D371)=1,COUNTIF(Accounts!$A$5:$A$50,E371)=1),AND(B371="Allocation",F371="Savings &amp; Investment",OR(AND(D371&lt;&gt;"",E371="",COUNTIFS(Accounts!$A$5:$A$50,D371,Accounts!$D$5:$D$50,"Asset")=1),AND(D371="",E371&lt;&gt;"",COUNTIFS(Accounts!$A$5:$A$50,E371,Accounts!$D$5:$D$50,"Asset")=1))),AND(B371="Adjustment",F371="",OR(AND(D371&lt;&gt;"",E371="",COUNTIF(Accounts!$A$5:$A$50,D371)=1),AND(D371="",E371&lt;&gt;"",COUNTIF(Accounts!$A$5:$A$50,E371)=1)))),"OK","CHECK: Type / account / category combination")))</f>
        <v/>
      </c>
    </row>
    <row r="372" spans="1:9">
      <c r="A372" s="56"/>
      <c r="C372" s="57"/>
      <c r="I372" s="13" t="str">
        <f>IF(COUNTA(A372:H372)=0,"",IF(OR(A372="",B372="",C372="",C372&lt;=0),"CHECK: Date, Type and positive Amount required",IF(OR(AND(B372="Income",D372="",E372&lt;&gt;"",F372&lt;&gt;"",COUNTIFS(Accounts!$A$5:$A$50,E372,Accounts!$D$5:$D$50,"Asset")=1,COUNTIFS(Categories!$A$5:$A$100,F372,Categories!$C$5:$C$100,"Income")=1),AND(B372="Expense",D372&lt;&gt;"",E372="",F372&lt;&gt;"",COUNTIF(Accounts!$A$5:$A$50,D372)=1,COUNTIFS(Categories!$A$5:$A$100,F372,Categories!$C$5:$C$100,"Expense")=1),AND(B372="Refund",D372="",E372&lt;&gt;"",F372&lt;&gt;"",COUNTIF(Accounts!$A$5:$A$50,E372)=1,COUNTIFS(Categories!$A$5:$A$100,F372,Categories!$C$5:$C$100,"Expense")=1),AND(B372="Transfer",D372&lt;&gt;"",E372&lt;&gt;"",D372&lt;&gt;E372,F372="",COUNTIF(Accounts!$A$5:$A$50,D372)=1,COUNTIF(Accounts!$A$5:$A$50,E372)=1),AND(B372="Allocation",F372="Savings &amp; Investment",OR(AND(D372&lt;&gt;"",E372="",COUNTIFS(Accounts!$A$5:$A$50,D372,Accounts!$D$5:$D$50,"Asset")=1),AND(D372="",E372&lt;&gt;"",COUNTIFS(Accounts!$A$5:$A$50,E372,Accounts!$D$5:$D$50,"Asset")=1))),AND(B372="Adjustment",F372="",OR(AND(D372&lt;&gt;"",E372="",COUNTIF(Accounts!$A$5:$A$50,D372)=1),AND(D372="",E372&lt;&gt;"",COUNTIF(Accounts!$A$5:$A$50,E372)=1)))),"OK","CHECK: Type / account / category combination")))</f>
        <v/>
      </c>
    </row>
    <row r="373" spans="1:9">
      <c r="A373" s="56"/>
      <c r="C373" s="57"/>
      <c r="I373" s="13" t="str">
        <f>IF(COUNTA(A373:H373)=0,"",IF(OR(A373="",B373="",C373="",C373&lt;=0),"CHECK: Date, Type and positive Amount required",IF(OR(AND(B373="Income",D373="",E373&lt;&gt;"",F373&lt;&gt;"",COUNTIFS(Accounts!$A$5:$A$50,E373,Accounts!$D$5:$D$50,"Asset")=1,COUNTIFS(Categories!$A$5:$A$100,F373,Categories!$C$5:$C$100,"Income")=1),AND(B373="Expense",D373&lt;&gt;"",E373="",F373&lt;&gt;"",COUNTIF(Accounts!$A$5:$A$50,D373)=1,COUNTIFS(Categories!$A$5:$A$100,F373,Categories!$C$5:$C$100,"Expense")=1),AND(B373="Refund",D373="",E373&lt;&gt;"",F373&lt;&gt;"",COUNTIF(Accounts!$A$5:$A$50,E373)=1,COUNTIFS(Categories!$A$5:$A$100,F373,Categories!$C$5:$C$100,"Expense")=1),AND(B373="Transfer",D373&lt;&gt;"",E373&lt;&gt;"",D373&lt;&gt;E373,F373="",COUNTIF(Accounts!$A$5:$A$50,D373)=1,COUNTIF(Accounts!$A$5:$A$50,E373)=1),AND(B373="Allocation",F373="Savings &amp; Investment",OR(AND(D373&lt;&gt;"",E373="",COUNTIFS(Accounts!$A$5:$A$50,D373,Accounts!$D$5:$D$50,"Asset")=1),AND(D373="",E373&lt;&gt;"",COUNTIFS(Accounts!$A$5:$A$50,E373,Accounts!$D$5:$D$50,"Asset")=1))),AND(B373="Adjustment",F373="",OR(AND(D373&lt;&gt;"",E373="",COUNTIF(Accounts!$A$5:$A$50,D373)=1),AND(D373="",E373&lt;&gt;"",COUNTIF(Accounts!$A$5:$A$50,E373)=1)))),"OK","CHECK: Type / account / category combination")))</f>
        <v/>
      </c>
    </row>
    <row r="374" spans="1:9">
      <c r="A374" s="56"/>
      <c r="C374" s="57"/>
      <c r="I374" s="13" t="str">
        <f>IF(COUNTA(A374:H374)=0,"",IF(OR(A374="",B374="",C374="",C374&lt;=0),"CHECK: Date, Type and positive Amount required",IF(OR(AND(B374="Income",D374="",E374&lt;&gt;"",F374&lt;&gt;"",COUNTIFS(Accounts!$A$5:$A$50,E374,Accounts!$D$5:$D$50,"Asset")=1,COUNTIFS(Categories!$A$5:$A$100,F374,Categories!$C$5:$C$100,"Income")=1),AND(B374="Expense",D374&lt;&gt;"",E374="",F374&lt;&gt;"",COUNTIF(Accounts!$A$5:$A$50,D374)=1,COUNTIFS(Categories!$A$5:$A$100,F374,Categories!$C$5:$C$100,"Expense")=1),AND(B374="Refund",D374="",E374&lt;&gt;"",F374&lt;&gt;"",COUNTIF(Accounts!$A$5:$A$50,E374)=1,COUNTIFS(Categories!$A$5:$A$100,F374,Categories!$C$5:$C$100,"Expense")=1),AND(B374="Transfer",D374&lt;&gt;"",E374&lt;&gt;"",D374&lt;&gt;E374,F374="",COUNTIF(Accounts!$A$5:$A$50,D374)=1,COUNTIF(Accounts!$A$5:$A$50,E374)=1),AND(B374="Allocation",F374="Savings &amp; Investment",OR(AND(D374&lt;&gt;"",E374="",COUNTIFS(Accounts!$A$5:$A$50,D374,Accounts!$D$5:$D$50,"Asset")=1),AND(D374="",E374&lt;&gt;"",COUNTIFS(Accounts!$A$5:$A$50,E374,Accounts!$D$5:$D$50,"Asset")=1))),AND(B374="Adjustment",F374="",OR(AND(D374&lt;&gt;"",E374="",COUNTIF(Accounts!$A$5:$A$50,D374)=1),AND(D374="",E374&lt;&gt;"",COUNTIF(Accounts!$A$5:$A$50,E374)=1)))),"OK","CHECK: Type / account / category combination")))</f>
        <v/>
      </c>
    </row>
    <row r="375" spans="1:9">
      <c r="A375" s="56"/>
      <c r="C375" s="57"/>
      <c r="I375" s="13" t="str">
        <f>IF(COUNTA(A375:H375)=0,"",IF(OR(A375="",B375="",C375="",C375&lt;=0),"CHECK: Date, Type and positive Amount required",IF(OR(AND(B375="Income",D375="",E375&lt;&gt;"",F375&lt;&gt;"",COUNTIFS(Accounts!$A$5:$A$50,E375,Accounts!$D$5:$D$50,"Asset")=1,COUNTIFS(Categories!$A$5:$A$100,F375,Categories!$C$5:$C$100,"Income")=1),AND(B375="Expense",D375&lt;&gt;"",E375="",F375&lt;&gt;"",COUNTIF(Accounts!$A$5:$A$50,D375)=1,COUNTIFS(Categories!$A$5:$A$100,F375,Categories!$C$5:$C$100,"Expense")=1),AND(B375="Refund",D375="",E375&lt;&gt;"",F375&lt;&gt;"",COUNTIF(Accounts!$A$5:$A$50,E375)=1,COUNTIFS(Categories!$A$5:$A$100,F375,Categories!$C$5:$C$100,"Expense")=1),AND(B375="Transfer",D375&lt;&gt;"",E375&lt;&gt;"",D375&lt;&gt;E375,F375="",COUNTIF(Accounts!$A$5:$A$50,D375)=1,COUNTIF(Accounts!$A$5:$A$50,E375)=1),AND(B375="Allocation",F375="Savings &amp; Investment",OR(AND(D375&lt;&gt;"",E375="",COUNTIFS(Accounts!$A$5:$A$50,D375,Accounts!$D$5:$D$50,"Asset")=1),AND(D375="",E375&lt;&gt;"",COUNTIFS(Accounts!$A$5:$A$50,E375,Accounts!$D$5:$D$50,"Asset")=1))),AND(B375="Adjustment",F375="",OR(AND(D375&lt;&gt;"",E375="",COUNTIF(Accounts!$A$5:$A$50,D375)=1),AND(D375="",E375&lt;&gt;"",COUNTIF(Accounts!$A$5:$A$50,E375)=1)))),"OK","CHECK: Type / account / category combination")))</f>
        <v/>
      </c>
    </row>
    <row r="376" spans="1:9">
      <c r="A376" s="56"/>
      <c r="C376" s="57"/>
      <c r="I376" s="13" t="str">
        <f>IF(COUNTA(A376:H376)=0,"",IF(OR(A376="",B376="",C376="",C376&lt;=0),"CHECK: Date, Type and positive Amount required",IF(OR(AND(B376="Income",D376="",E376&lt;&gt;"",F376&lt;&gt;"",COUNTIFS(Accounts!$A$5:$A$50,E376,Accounts!$D$5:$D$50,"Asset")=1,COUNTIFS(Categories!$A$5:$A$100,F376,Categories!$C$5:$C$100,"Income")=1),AND(B376="Expense",D376&lt;&gt;"",E376="",F376&lt;&gt;"",COUNTIF(Accounts!$A$5:$A$50,D376)=1,COUNTIFS(Categories!$A$5:$A$100,F376,Categories!$C$5:$C$100,"Expense")=1),AND(B376="Refund",D376="",E376&lt;&gt;"",F376&lt;&gt;"",COUNTIF(Accounts!$A$5:$A$50,E376)=1,COUNTIFS(Categories!$A$5:$A$100,F376,Categories!$C$5:$C$100,"Expense")=1),AND(B376="Transfer",D376&lt;&gt;"",E376&lt;&gt;"",D376&lt;&gt;E376,F376="",COUNTIF(Accounts!$A$5:$A$50,D376)=1,COUNTIF(Accounts!$A$5:$A$50,E376)=1),AND(B376="Allocation",F376="Savings &amp; Investment",OR(AND(D376&lt;&gt;"",E376="",COUNTIFS(Accounts!$A$5:$A$50,D376,Accounts!$D$5:$D$50,"Asset")=1),AND(D376="",E376&lt;&gt;"",COUNTIFS(Accounts!$A$5:$A$50,E376,Accounts!$D$5:$D$50,"Asset")=1))),AND(B376="Adjustment",F376="",OR(AND(D376&lt;&gt;"",E376="",COUNTIF(Accounts!$A$5:$A$50,D376)=1),AND(D376="",E376&lt;&gt;"",COUNTIF(Accounts!$A$5:$A$50,E376)=1)))),"OK","CHECK: Type / account / category combination")))</f>
        <v/>
      </c>
    </row>
    <row r="377" spans="1:9">
      <c r="A377" s="56"/>
      <c r="C377" s="57"/>
      <c r="I377" s="13" t="str">
        <f>IF(COUNTA(A377:H377)=0,"",IF(OR(A377="",B377="",C377="",C377&lt;=0),"CHECK: Date, Type and positive Amount required",IF(OR(AND(B377="Income",D377="",E377&lt;&gt;"",F377&lt;&gt;"",COUNTIFS(Accounts!$A$5:$A$50,E377,Accounts!$D$5:$D$50,"Asset")=1,COUNTIFS(Categories!$A$5:$A$100,F377,Categories!$C$5:$C$100,"Income")=1),AND(B377="Expense",D377&lt;&gt;"",E377="",F377&lt;&gt;"",COUNTIF(Accounts!$A$5:$A$50,D377)=1,COUNTIFS(Categories!$A$5:$A$100,F377,Categories!$C$5:$C$100,"Expense")=1),AND(B377="Refund",D377="",E377&lt;&gt;"",F377&lt;&gt;"",COUNTIF(Accounts!$A$5:$A$50,E377)=1,COUNTIFS(Categories!$A$5:$A$100,F377,Categories!$C$5:$C$100,"Expense")=1),AND(B377="Transfer",D377&lt;&gt;"",E377&lt;&gt;"",D377&lt;&gt;E377,F377="",COUNTIF(Accounts!$A$5:$A$50,D377)=1,COUNTIF(Accounts!$A$5:$A$50,E377)=1),AND(B377="Allocation",F377="Savings &amp; Investment",OR(AND(D377&lt;&gt;"",E377="",COUNTIFS(Accounts!$A$5:$A$50,D377,Accounts!$D$5:$D$50,"Asset")=1),AND(D377="",E377&lt;&gt;"",COUNTIFS(Accounts!$A$5:$A$50,E377,Accounts!$D$5:$D$50,"Asset")=1))),AND(B377="Adjustment",F377="",OR(AND(D377&lt;&gt;"",E377="",COUNTIF(Accounts!$A$5:$A$50,D377)=1),AND(D377="",E377&lt;&gt;"",COUNTIF(Accounts!$A$5:$A$50,E377)=1)))),"OK","CHECK: Type / account / category combination")))</f>
        <v/>
      </c>
    </row>
    <row r="378" spans="1:9">
      <c r="A378" s="56"/>
      <c r="C378" s="57"/>
      <c r="I378" s="13" t="str">
        <f>IF(COUNTA(A378:H378)=0,"",IF(OR(A378="",B378="",C378="",C378&lt;=0),"CHECK: Date, Type and positive Amount required",IF(OR(AND(B378="Income",D378="",E378&lt;&gt;"",F378&lt;&gt;"",COUNTIFS(Accounts!$A$5:$A$50,E378,Accounts!$D$5:$D$50,"Asset")=1,COUNTIFS(Categories!$A$5:$A$100,F378,Categories!$C$5:$C$100,"Income")=1),AND(B378="Expense",D378&lt;&gt;"",E378="",F378&lt;&gt;"",COUNTIF(Accounts!$A$5:$A$50,D378)=1,COUNTIFS(Categories!$A$5:$A$100,F378,Categories!$C$5:$C$100,"Expense")=1),AND(B378="Refund",D378="",E378&lt;&gt;"",F378&lt;&gt;"",COUNTIF(Accounts!$A$5:$A$50,E378)=1,COUNTIFS(Categories!$A$5:$A$100,F378,Categories!$C$5:$C$100,"Expense")=1),AND(B378="Transfer",D378&lt;&gt;"",E378&lt;&gt;"",D378&lt;&gt;E378,F378="",COUNTIF(Accounts!$A$5:$A$50,D378)=1,COUNTIF(Accounts!$A$5:$A$50,E378)=1),AND(B378="Allocation",F378="Savings &amp; Investment",OR(AND(D378&lt;&gt;"",E378="",COUNTIFS(Accounts!$A$5:$A$50,D378,Accounts!$D$5:$D$50,"Asset")=1),AND(D378="",E378&lt;&gt;"",COUNTIFS(Accounts!$A$5:$A$50,E378,Accounts!$D$5:$D$50,"Asset")=1))),AND(B378="Adjustment",F378="",OR(AND(D378&lt;&gt;"",E378="",COUNTIF(Accounts!$A$5:$A$50,D378)=1),AND(D378="",E378&lt;&gt;"",COUNTIF(Accounts!$A$5:$A$50,E378)=1)))),"OK","CHECK: Type / account / category combination")))</f>
        <v/>
      </c>
    </row>
    <row r="379" spans="1:9">
      <c r="A379" s="56"/>
      <c r="C379" s="57"/>
      <c r="I379" s="13" t="str">
        <f>IF(COUNTA(A379:H379)=0,"",IF(OR(A379="",B379="",C379="",C379&lt;=0),"CHECK: Date, Type and positive Amount required",IF(OR(AND(B379="Income",D379="",E379&lt;&gt;"",F379&lt;&gt;"",COUNTIFS(Accounts!$A$5:$A$50,E379,Accounts!$D$5:$D$50,"Asset")=1,COUNTIFS(Categories!$A$5:$A$100,F379,Categories!$C$5:$C$100,"Income")=1),AND(B379="Expense",D379&lt;&gt;"",E379="",F379&lt;&gt;"",COUNTIF(Accounts!$A$5:$A$50,D379)=1,COUNTIFS(Categories!$A$5:$A$100,F379,Categories!$C$5:$C$100,"Expense")=1),AND(B379="Refund",D379="",E379&lt;&gt;"",F379&lt;&gt;"",COUNTIF(Accounts!$A$5:$A$50,E379)=1,COUNTIFS(Categories!$A$5:$A$100,F379,Categories!$C$5:$C$100,"Expense")=1),AND(B379="Transfer",D379&lt;&gt;"",E379&lt;&gt;"",D379&lt;&gt;E379,F379="",COUNTIF(Accounts!$A$5:$A$50,D379)=1,COUNTIF(Accounts!$A$5:$A$50,E379)=1),AND(B379="Allocation",F379="Savings &amp; Investment",OR(AND(D379&lt;&gt;"",E379="",COUNTIFS(Accounts!$A$5:$A$50,D379,Accounts!$D$5:$D$50,"Asset")=1),AND(D379="",E379&lt;&gt;"",COUNTIFS(Accounts!$A$5:$A$50,E379,Accounts!$D$5:$D$50,"Asset")=1))),AND(B379="Adjustment",F379="",OR(AND(D379&lt;&gt;"",E379="",COUNTIF(Accounts!$A$5:$A$50,D379)=1),AND(D379="",E379&lt;&gt;"",COUNTIF(Accounts!$A$5:$A$50,E379)=1)))),"OK","CHECK: Type / account / category combination")))</f>
        <v/>
      </c>
    </row>
    <row r="380" spans="1:9">
      <c r="A380" s="56"/>
      <c r="C380" s="57"/>
      <c r="I380" s="13" t="str">
        <f>IF(COUNTA(A380:H380)=0,"",IF(OR(A380="",B380="",C380="",C380&lt;=0),"CHECK: Date, Type and positive Amount required",IF(OR(AND(B380="Income",D380="",E380&lt;&gt;"",F380&lt;&gt;"",COUNTIFS(Accounts!$A$5:$A$50,E380,Accounts!$D$5:$D$50,"Asset")=1,COUNTIFS(Categories!$A$5:$A$100,F380,Categories!$C$5:$C$100,"Income")=1),AND(B380="Expense",D380&lt;&gt;"",E380="",F380&lt;&gt;"",COUNTIF(Accounts!$A$5:$A$50,D380)=1,COUNTIFS(Categories!$A$5:$A$100,F380,Categories!$C$5:$C$100,"Expense")=1),AND(B380="Refund",D380="",E380&lt;&gt;"",F380&lt;&gt;"",COUNTIF(Accounts!$A$5:$A$50,E380)=1,COUNTIFS(Categories!$A$5:$A$100,F380,Categories!$C$5:$C$100,"Expense")=1),AND(B380="Transfer",D380&lt;&gt;"",E380&lt;&gt;"",D380&lt;&gt;E380,F380="",COUNTIF(Accounts!$A$5:$A$50,D380)=1,COUNTIF(Accounts!$A$5:$A$50,E380)=1),AND(B380="Allocation",F380="Savings &amp; Investment",OR(AND(D380&lt;&gt;"",E380="",COUNTIFS(Accounts!$A$5:$A$50,D380,Accounts!$D$5:$D$50,"Asset")=1),AND(D380="",E380&lt;&gt;"",COUNTIFS(Accounts!$A$5:$A$50,E380,Accounts!$D$5:$D$50,"Asset")=1))),AND(B380="Adjustment",F380="",OR(AND(D380&lt;&gt;"",E380="",COUNTIF(Accounts!$A$5:$A$50,D380)=1),AND(D380="",E380&lt;&gt;"",COUNTIF(Accounts!$A$5:$A$50,E380)=1)))),"OK","CHECK: Type / account / category combination")))</f>
        <v/>
      </c>
    </row>
    <row r="381" spans="1:9">
      <c r="A381" s="56"/>
      <c r="C381" s="57"/>
      <c r="I381" s="13" t="str">
        <f>IF(COUNTA(A381:H381)=0,"",IF(OR(A381="",B381="",C381="",C381&lt;=0),"CHECK: Date, Type and positive Amount required",IF(OR(AND(B381="Income",D381="",E381&lt;&gt;"",F381&lt;&gt;"",COUNTIFS(Accounts!$A$5:$A$50,E381,Accounts!$D$5:$D$50,"Asset")=1,COUNTIFS(Categories!$A$5:$A$100,F381,Categories!$C$5:$C$100,"Income")=1),AND(B381="Expense",D381&lt;&gt;"",E381="",F381&lt;&gt;"",COUNTIF(Accounts!$A$5:$A$50,D381)=1,COUNTIFS(Categories!$A$5:$A$100,F381,Categories!$C$5:$C$100,"Expense")=1),AND(B381="Refund",D381="",E381&lt;&gt;"",F381&lt;&gt;"",COUNTIF(Accounts!$A$5:$A$50,E381)=1,COUNTIFS(Categories!$A$5:$A$100,F381,Categories!$C$5:$C$100,"Expense")=1),AND(B381="Transfer",D381&lt;&gt;"",E381&lt;&gt;"",D381&lt;&gt;E381,F381="",COUNTIF(Accounts!$A$5:$A$50,D381)=1,COUNTIF(Accounts!$A$5:$A$50,E381)=1),AND(B381="Allocation",F381="Savings &amp; Investment",OR(AND(D381&lt;&gt;"",E381="",COUNTIFS(Accounts!$A$5:$A$50,D381,Accounts!$D$5:$D$50,"Asset")=1),AND(D381="",E381&lt;&gt;"",COUNTIFS(Accounts!$A$5:$A$50,E381,Accounts!$D$5:$D$50,"Asset")=1))),AND(B381="Adjustment",F381="",OR(AND(D381&lt;&gt;"",E381="",COUNTIF(Accounts!$A$5:$A$50,D381)=1),AND(D381="",E381&lt;&gt;"",COUNTIF(Accounts!$A$5:$A$50,E381)=1)))),"OK","CHECK: Type / account / category combination")))</f>
        <v/>
      </c>
    </row>
    <row r="382" spans="1:9">
      <c r="A382" s="56"/>
      <c r="C382" s="57"/>
      <c r="I382" s="13" t="str">
        <f>IF(COUNTA(A382:H382)=0,"",IF(OR(A382="",B382="",C382="",C382&lt;=0),"CHECK: Date, Type and positive Amount required",IF(OR(AND(B382="Income",D382="",E382&lt;&gt;"",F382&lt;&gt;"",COUNTIFS(Accounts!$A$5:$A$50,E382,Accounts!$D$5:$D$50,"Asset")=1,COUNTIFS(Categories!$A$5:$A$100,F382,Categories!$C$5:$C$100,"Income")=1),AND(B382="Expense",D382&lt;&gt;"",E382="",F382&lt;&gt;"",COUNTIF(Accounts!$A$5:$A$50,D382)=1,COUNTIFS(Categories!$A$5:$A$100,F382,Categories!$C$5:$C$100,"Expense")=1),AND(B382="Refund",D382="",E382&lt;&gt;"",F382&lt;&gt;"",COUNTIF(Accounts!$A$5:$A$50,E382)=1,COUNTIFS(Categories!$A$5:$A$100,F382,Categories!$C$5:$C$100,"Expense")=1),AND(B382="Transfer",D382&lt;&gt;"",E382&lt;&gt;"",D382&lt;&gt;E382,F382="",COUNTIF(Accounts!$A$5:$A$50,D382)=1,COUNTIF(Accounts!$A$5:$A$50,E382)=1),AND(B382="Allocation",F382="Savings &amp; Investment",OR(AND(D382&lt;&gt;"",E382="",COUNTIFS(Accounts!$A$5:$A$50,D382,Accounts!$D$5:$D$50,"Asset")=1),AND(D382="",E382&lt;&gt;"",COUNTIFS(Accounts!$A$5:$A$50,E382,Accounts!$D$5:$D$50,"Asset")=1))),AND(B382="Adjustment",F382="",OR(AND(D382&lt;&gt;"",E382="",COUNTIF(Accounts!$A$5:$A$50,D382)=1),AND(D382="",E382&lt;&gt;"",COUNTIF(Accounts!$A$5:$A$50,E382)=1)))),"OK","CHECK: Type / account / category combination")))</f>
        <v/>
      </c>
    </row>
    <row r="383" spans="1:9">
      <c r="A383" s="56"/>
      <c r="C383" s="57"/>
      <c r="I383" s="13" t="str">
        <f>IF(COUNTA(A383:H383)=0,"",IF(OR(A383="",B383="",C383="",C383&lt;=0),"CHECK: Date, Type and positive Amount required",IF(OR(AND(B383="Income",D383="",E383&lt;&gt;"",F383&lt;&gt;"",COUNTIFS(Accounts!$A$5:$A$50,E383,Accounts!$D$5:$D$50,"Asset")=1,COUNTIFS(Categories!$A$5:$A$100,F383,Categories!$C$5:$C$100,"Income")=1),AND(B383="Expense",D383&lt;&gt;"",E383="",F383&lt;&gt;"",COUNTIF(Accounts!$A$5:$A$50,D383)=1,COUNTIFS(Categories!$A$5:$A$100,F383,Categories!$C$5:$C$100,"Expense")=1),AND(B383="Refund",D383="",E383&lt;&gt;"",F383&lt;&gt;"",COUNTIF(Accounts!$A$5:$A$50,E383)=1,COUNTIFS(Categories!$A$5:$A$100,F383,Categories!$C$5:$C$100,"Expense")=1),AND(B383="Transfer",D383&lt;&gt;"",E383&lt;&gt;"",D383&lt;&gt;E383,F383="",COUNTIF(Accounts!$A$5:$A$50,D383)=1,COUNTIF(Accounts!$A$5:$A$50,E383)=1),AND(B383="Allocation",F383="Savings &amp; Investment",OR(AND(D383&lt;&gt;"",E383="",COUNTIFS(Accounts!$A$5:$A$50,D383,Accounts!$D$5:$D$50,"Asset")=1),AND(D383="",E383&lt;&gt;"",COUNTIFS(Accounts!$A$5:$A$50,E383,Accounts!$D$5:$D$50,"Asset")=1))),AND(B383="Adjustment",F383="",OR(AND(D383&lt;&gt;"",E383="",COUNTIF(Accounts!$A$5:$A$50,D383)=1),AND(D383="",E383&lt;&gt;"",COUNTIF(Accounts!$A$5:$A$50,E383)=1)))),"OK","CHECK: Type / account / category combination")))</f>
        <v/>
      </c>
    </row>
    <row r="384" spans="1:9">
      <c r="A384" s="56"/>
      <c r="C384" s="57"/>
      <c r="I384" s="13" t="str">
        <f>IF(COUNTA(A384:H384)=0,"",IF(OR(A384="",B384="",C384="",C384&lt;=0),"CHECK: Date, Type and positive Amount required",IF(OR(AND(B384="Income",D384="",E384&lt;&gt;"",F384&lt;&gt;"",COUNTIFS(Accounts!$A$5:$A$50,E384,Accounts!$D$5:$D$50,"Asset")=1,COUNTIFS(Categories!$A$5:$A$100,F384,Categories!$C$5:$C$100,"Income")=1),AND(B384="Expense",D384&lt;&gt;"",E384="",F384&lt;&gt;"",COUNTIF(Accounts!$A$5:$A$50,D384)=1,COUNTIFS(Categories!$A$5:$A$100,F384,Categories!$C$5:$C$100,"Expense")=1),AND(B384="Refund",D384="",E384&lt;&gt;"",F384&lt;&gt;"",COUNTIF(Accounts!$A$5:$A$50,E384)=1,COUNTIFS(Categories!$A$5:$A$100,F384,Categories!$C$5:$C$100,"Expense")=1),AND(B384="Transfer",D384&lt;&gt;"",E384&lt;&gt;"",D384&lt;&gt;E384,F384="",COUNTIF(Accounts!$A$5:$A$50,D384)=1,COUNTIF(Accounts!$A$5:$A$50,E384)=1),AND(B384="Allocation",F384="Savings &amp; Investment",OR(AND(D384&lt;&gt;"",E384="",COUNTIFS(Accounts!$A$5:$A$50,D384,Accounts!$D$5:$D$50,"Asset")=1),AND(D384="",E384&lt;&gt;"",COUNTIFS(Accounts!$A$5:$A$50,E384,Accounts!$D$5:$D$50,"Asset")=1))),AND(B384="Adjustment",F384="",OR(AND(D384&lt;&gt;"",E384="",COUNTIF(Accounts!$A$5:$A$50,D384)=1),AND(D384="",E384&lt;&gt;"",COUNTIF(Accounts!$A$5:$A$50,E384)=1)))),"OK","CHECK: Type / account / category combination")))</f>
        <v/>
      </c>
    </row>
    <row r="385" spans="1:9">
      <c r="A385" s="56"/>
      <c r="C385" s="57"/>
      <c r="I385" s="13" t="str">
        <f>IF(COUNTA(A385:H385)=0,"",IF(OR(A385="",B385="",C385="",C385&lt;=0),"CHECK: Date, Type and positive Amount required",IF(OR(AND(B385="Income",D385="",E385&lt;&gt;"",F385&lt;&gt;"",COUNTIFS(Accounts!$A$5:$A$50,E385,Accounts!$D$5:$D$50,"Asset")=1,COUNTIFS(Categories!$A$5:$A$100,F385,Categories!$C$5:$C$100,"Income")=1),AND(B385="Expense",D385&lt;&gt;"",E385="",F385&lt;&gt;"",COUNTIF(Accounts!$A$5:$A$50,D385)=1,COUNTIFS(Categories!$A$5:$A$100,F385,Categories!$C$5:$C$100,"Expense")=1),AND(B385="Refund",D385="",E385&lt;&gt;"",F385&lt;&gt;"",COUNTIF(Accounts!$A$5:$A$50,E385)=1,COUNTIFS(Categories!$A$5:$A$100,F385,Categories!$C$5:$C$100,"Expense")=1),AND(B385="Transfer",D385&lt;&gt;"",E385&lt;&gt;"",D385&lt;&gt;E385,F385="",COUNTIF(Accounts!$A$5:$A$50,D385)=1,COUNTIF(Accounts!$A$5:$A$50,E385)=1),AND(B385="Allocation",F385="Savings &amp; Investment",OR(AND(D385&lt;&gt;"",E385="",COUNTIFS(Accounts!$A$5:$A$50,D385,Accounts!$D$5:$D$50,"Asset")=1),AND(D385="",E385&lt;&gt;"",COUNTIFS(Accounts!$A$5:$A$50,E385,Accounts!$D$5:$D$50,"Asset")=1))),AND(B385="Adjustment",F385="",OR(AND(D385&lt;&gt;"",E385="",COUNTIF(Accounts!$A$5:$A$50,D385)=1),AND(D385="",E385&lt;&gt;"",COUNTIF(Accounts!$A$5:$A$50,E385)=1)))),"OK","CHECK: Type / account / category combination")))</f>
        <v/>
      </c>
    </row>
    <row r="386" spans="1:9">
      <c r="A386" s="56"/>
      <c r="C386" s="57"/>
      <c r="I386" s="13" t="str">
        <f>IF(COUNTA(A386:H386)=0,"",IF(OR(A386="",B386="",C386="",C386&lt;=0),"CHECK: Date, Type and positive Amount required",IF(OR(AND(B386="Income",D386="",E386&lt;&gt;"",F386&lt;&gt;"",COUNTIFS(Accounts!$A$5:$A$50,E386,Accounts!$D$5:$D$50,"Asset")=1,COUNTIFS(Categories!$A$5:$A$100,F386,Categories!$C$5:$C$100,"Income")=1),AND(B386="Expense",D386&lt;&gt;"",E386="",F386&lt;&gt;"",COUNTIF(Accounts!$A$5:$A$50,D386)=1,COUNTIFS(Categories!$A$5:$A$100,F386,Categories!$C$5:$C$100,"Expense")=1),AND(B386="Refund",D386="",E386&lt;&gt;"",F386&lt;&gt;"",COUNTIF(Accounts!$A$5:$A$50,E386)=1,COUNTIFS(Categories!$A$5:$A$100,F386,Categories!$C$5:$C$100,"Expense")=1),AND(B386="Transfer",D386&lt;&gt;"",E386&lt;&gt;"",D386&lt;&gt;E386,F386="",COUNTIF(Accounts!$A$5:$A$50,D386)=1,COUNTIF(Accounts!$A$5:$A$50,E386)=1),AND(B386="Allocation",F386="Savings &amp; Investment",OR(AND(D386&lt;&gt;"",E386="",COUNTIFS(Accounts!$A$5:$A$50,D386,Accounts!$D$5:$D$50,"Asset")=1),AND(D386="",E386&lt;&gt;"",COUNTIFS(Accounts!$A$5:$A$50,E386,Accounts!$D$5:$D$50,"Asset")=1))),AND(B386="Adjustment",F386="",OR(AND(D386&lt;&gt;"",E386="",COUNTIF(Accounts!$A$5:$A$50,D386)=1),AND(D386="",E386&lt;&gt;"",COUNTIF(Accounts!$A$5:$A$50,E386)=1)))),"OK","CHECK: Type / account / category combination")))</f>
        <v/>
      </c>
    </row>
    <row r="387" spans="1:9">
      <c r="A387" s="56"/>
      <c r="C387" s="57"/>
      <c r="I387" s="13" t="str">
        <f>IF(COUNTA(A387:H387)=0,"",IF(OR(A387="",B387="",C387="",C387&lt;=0),"CHECK: Date, Type and positive Amount required",IF(OR(AND(B387="Income",D387="",E387&lt;&gt;"",F387&lt;&gt;"",COUNTIFS(Accounts!$A$5:$A$50,E387,Accounts!$D$5:$D$50,"Asset")=1,COUNTIFS(Categories!$A$5:$A$100,F387,Categories!$C$5:$C$100,"Income")=1),AND(B387="Expense",D387&lt;&gt;"",E387="",F387&lt;&gt;"",COUNTIF(Accounts!$A$5:$A$50,D387)=1,COUNTIFS(Categories!$A$5:$A$100,F387,Categories!$C$5:$C$100,"Expense")=1),AND(B387="Refund",D387="",E387&lt;&gt;"",F387&lt;&gt;"",COUNTIF(Accounts!$A$5:$A$50,E387)=1,COUNTIFS(Categories!$A$5:$A$100,F387,Categories!$C$5:$C$100,"Expense")=1),AND(B387="Transfer",D387&lt;&gt;"",E387&lt;&gt;"",D387&lt;&gt;E387,F387="",COUNTIF(Accounts!$A$5:$A$50,D387)=1,COUNTIF(Accounts!$A$5:$A$50,E387)=1),AND(B387="Allocation",F387="Savings &amp; Investment",OR(AND(D387&lt;&gt;"",E387="",COUNTIFS(Accounts!$A$5:$A$50,D387,Accounts!$D$5:$D$50,"Asset")=1),AND(D387="",E387&lt;&gt;"",COUNTIFS(Accounts!$A$5:$A$50,E387,Accounts!$D$5:$D$50,"Asset")=1))),AND(B387="Adjustment",F387="",OR(AND(D387&lt;&gt;"",E387="",COUNTIF(Accounts!$A$5:$A$50,D387)=1),AND(D387="",E387&lt;&gt;"",COUNTIF(Accounts!$A$5:$A$50,E387)=1)))),"OK","CHECK: Type / account / category combination")))</f>
        <v/>
      </c>
    </row>
    <row r="388" spans="1:9">
      <c r="A388" s="56"/>
      <c r="C388" s="57"/>
      <c r="I388" s="13" t="str">
        <f>IF(COUNTA(A388:H388)=0,"",IF(OR(A388="",B388="",C388="",C388&lt;=0),"CHECK: Date, Type and positive Amount required",IF(OR(AND(B388="Income",D388="",E388&lt;&gt;"",F388&lt;&gt;"",COUNTIFS(Accounts!$A$5:$A$50,E388,Accounts!$D$5:$D$50,"Asset")=1,COUNTIFS(Categories!$A$5:$A$100,F388,Categories!$C$5:$C$100,"Income")=1),AND(B388="Expense",D388&lt;&gt;"",E388="",F388&lt;&gt;"",COUNTIF(Accounts!$A$5:$A$50,D388)=1,COUNTIFS(Categories!$A$5:$A$100,F388,Categories!$C$5:$C$100,"Expense")=1),AND(B388="Refund",D388="",E388&lt;&gt;"",F388&lt;&gt;"",COUNTIF(Accounts!$A$5:$A$50,E388)=1,COUNTIFS(Categories!$A$5:$A$100,F388,Categories!$C$5:$C$100,"Expense")=1),AND(B388="Transfer",D388&lt;&gt;"",E388&lt;&gt;"",D388&lt;&gt;E388,F388="",COUNTIF(Accounts!$A$5:$A$50,D388)=1,COUNTIF(Accounts!$A$5:$A$50,E388)=1),AND(B388="Allocation",F388="Savings &amp; Investment",OR(AND(D388&lt;&gt;"",E388="",COUNTIFS(Accounts!$A$5:$A$50,D388,Accounts!$D$5:$D$50,"Asset")=1),AND(D388="",E388&lt;&gt;"",COUNTIFS(Accounts!$A$5:$A$50,E388,Accounts!$D$5:$D$50,"Asset")=1))),AND(B388="Adjustment",F388="",OR(AND(D388&lt;&gt;"",E388="",COUNTIF(Accounts!$A$5:$A$50,D388)=1),AND(D388="",E388&lt;&gt;"",COUNTIF(Accounts!$A$5:$A$50,E388)=1)))),"OK","CHECK: Type / account / category combination")))</f>
        <v/>
      </c>
    </row>
    <row r="389" spans="1:9">
      <c r="A389" s="56"/>
      <c r="C389" s="57"/>
      <c r="I389" s="13" t="str">
        <f>IF(COUNTA(A389:H389)=0,"",IF(OR(A389="",B389="",C389="",C389&lt;=0),"CHECK: Date, Type and positive Amount required",IF(OR(AND(B389="Income",D389="",E389&lt;&gt;"",F389&lt;&gt;"",COUNTIFS(Accounts!$A$5:$A$50,E389,Accounts!$D$5:$D$50,"Asset")=1,COUNTIFS(Categories!$A$5:$A$100,F389,Categories!$C$5:$C$100,"Income")=1),AND(B389="Expense",D389&lt;&gt;"",E389="",F389&lt;&gt;"",COUNTIF(Accounts!$A$5:$A$50,D389)=1,COUNTIFS(Categories!$A$5:$A$100,F389,Categories!$C$5:$C$100,"Expense")=1),AND(B389="Refund",D389="",E389&lt;&gt;"",F389&lt;&gt;"",COUNTIF(Accounts!$A$5:$A$50,E389)=1,COUNTIFS(Categories!$A$5:$A$100,F389,Categories!$C$5:$C$100,"Expense")=1),AND(B389="Transfer",D389&lt;&gt;"",E389&lt;&gt;"",D389&lt;&gt;E389,F389="",COUNTIF(Accounts!$A$5:$A$50,D389)=1,COUNTIF(Accounts!$A$5:$A$50,E389)=1),AND(B389="Allocation",F389="Savings &amp; Investment",OR(AND(D389&lt;&gt;"",E389="",COUNTIFS(Accounts!$A$5:$A$50,D389,Accounts!$D$5:$D$50,"Asset")=1),AND(D389="",E389&lt;&gt;"",COUNTIFS(Accounts!$A$5:$A$50,E389,Accounts!$D$5:$D$50,"Asset")=1))),AND(B389="Adjustment",F389="",OR(AND(D389&lt;&gt;"",E389="",COUNTIF(Accounts!$A$5:$A$50,D389)=1),AND(D389="",E389&lt;&gt;"",COUNTIF(Accounts!$A$5:$A$50,E389)=1)))),"OK","CHECK: Type / account / category combination")))</f>
        <v/>
      </c>
    </row>
    <row r="390" spans="1:9">
      <c r="A390" s="56"/>
      <c r="C390" s="57"/>
      <c r="I390" s="13" t="str">
        <f>IF(COUNTA(A390:H390)=0,"",IF(OR(A390="",B390="",C390="",C390&lt;=0),"CHECK: Date, Type and positive Amount required",IF(OR(AND(B390="Income",D390="",E390&lt;&gt;"",F390&lt;&gt;"",COUNTIFS(Accounts!$A$5:$A$50,E390,Accounts!$D$5:$D$50,"Asset")=1,COUNTIFS(Categories!$A$5:$A$100,F390,Categories!$C$5:$C$100,"Income")=1),AND(B390="Expense",D390&lt;&gt;"",E390="",F390&lt;&gt;"",COUNTIF(Accounts!$A$5:$A$50,D390)=1,COUNTIFS(Categories!$A$5:$A$100,F390,Categories!$C$5:$C$100,"Expense")=1),AND(B390="Refund",D390="",E390&lt;&gt;"",F390&lt;&gt;"",COUNTIF(Accounts!$A$5:$A$50,E390)=1,COUNTIFS(Categories!$A$5:$A$100,F390,Categories!$C$5:$C$100,"Expense")=1),AND(B390="Transfer",D390&lt;&gt;"",E390&lt;&gt;"",D390&lt;&gt;E390,F390="",COUNTIF(Accounts!$A$5:$A$50,D390)=1,COUNTIF(Accounts!$A$5:$A$50,E390)=1),AND(B390="Allocation",F390="Savings &amp; Investment",OR(AND(D390&lt;&gt;"",E390="",COUNTIFS(Accounts!$A$5:$A$50,D390,Accounts!$D$5:$D$50,"Asset")=1),AND(D390="",E390&lt;&gt;"",COUNTIFS(Accounts!$A$5:$A$50,E390,Accounts!$D$5:$D$50,"Asset")=1))),AND(B390="Adjustment",F390="",OR(AND(D390&lt;&gt;"",E390="",COUNTIF(Accounts!$A$5:$A$50,D390)=1),AND(D390="",E390&lt;&gt;"",COUNTIF(Accounts!$A$5:$A$50,E390)=1)))),"OK","CHECK: Type / account / category combination")))</f>
        <v/>
      </c>
    </row>
    <row r="391" spans="1:9">
      <c r="A391" s="56"/>
      <c r="C391" s="57"/>
      <c r="I391" s="13" t="str">
        <f>IF(COUNTA(A391:H391)=0,"",IF(OR(A391="",B391="",C391="",C391&lt;=0),"CHECK: Date, Type and positive Amount required",IF(OR(AND(B391="Income",D391="",E391&lt;&gt;"",F391&lt;&gt;"",COUNTIFS(Accounts!$A$5:$A$50,E391,Accounts!$D$5:$D$50,"Asset")=1,COUNTIFS(Categories!$A$5:$A$100,F391,Categories!$C$5:$C$100,"Income")=1),AND(B391="Expense",D391&lt;&gt;"",E391="",F391&lt;&gt;"",COUNTIF(Accounts!$A$5:$A$50,D391)=1,COUNTIFS(Categories!$A$5:$A$100,F391,Categories!$C$5:$C$100,"Expense")=1),AND(B391="Refund",D391="",E391&lt;&gt;"",F391&lt;&gt;"",COUNTIF(Accounts!$A$5:$A$50,E391)=1,COUNTIFS(Categories!$A$5:$A$100,F391,Categories!$C$5:$C$100,"Expense")=1),AND(B391="Transfer",D391&lt;&gt;"",E391&lt;&gt;"",D391&lt;&gt;E391,F391="",COUNTIF(Accounts!$A$5:$A$50,D391)=1,COUNTIF(Accounts!$A$5:$A$50,E391)=1),AND(B391="Allocation",F391="Savings &amp; Investment",OR(AND(D391&lt;&gt;"",E391="",COUNTIFS(Accounts!$A$5:$A$50,D391,Accounts!$D$5:$D$50,"Asset")=1),AND(D391="",E391&lt;&gt;"",COUNTIFS(Accounts!$A$5:$A$50,E391,Accounts!$D$5:$D$50,"Asset")=1))),AND(B391="Adjustment",F391="",OR(AND(D391&lt;&gt;"",E391="",COUNTIF(Accounts!$A$5:$A$50,D391)=1),AND(D391="",E391&lt;&gt;"",COUNTIF(Accounts!$A$5:$A$50,E391)=1)))),"OK","CHECK: Type / account / category combination")))</f>
        <v/>
      </c>
    </row>
    <row r="392" spans="1:9">
      <c r="A392" s="56"/>
      <c r="C392" s="57"/>
      <c r="I392" s="13" t="str">
        <f>IF(COUNTA(A392:H392)=0,"",IF(OR(A392="",B392="",C392="",C392&lt;=0),"CHECK: Date, Type and positive Amount required",IF(OR(AND(B392="Income",D392="",E392&lt;&gt;"",F392&lt;&gt;"",COUNTIFS(Accounts!$A$5:$A$50,E392,Accounts!$D$5:$D$50,"Asset")=1,COUNTIFS(Categories!$A$5:$A$100,F392,Categories!$C$5:$C$100,"Income")=1),AND(B392="Expense",D392&lt;&gt;"",E392="",F392&lt;&gt;"",COUNTIF(Accounts!$A$5:$A$50,D392)=1,COUNTIFS(Categories!$A$5:$A$100,F392,Categories!$C$5:$C$100,"Expense")=1),AND(B392="Refund",D392="",E392&lt;&gt;"",F392&lt;&gt;"",COUNTIF(Accounts!$A$5:$A$50,E392)=1,COUNTIFS(Categories!$A$5:$A$100,F392,Categories!$C$5:$C$100,"Expense")=1),AND(B392="Transfer",D392&lt;&gt;"",E392&lt;&gt;"",D392&lt;&gt;E392,F392="",COUNTIF(Accounts!$A$5:$A$50,D392)=1,COUNTIF(Accounts!$A$5:$A$50,E392)=1),AND(B392="Allocation",F392="Savings &amp; Investment",OR(AND(D392&lt;&gt;"",E392="",COUNTIFS(Accounts!$A$5:$A$50,D392,Accounts!$D$5:$D$50,"Asset")=1),AND(D392="",E392&lt;&gt;"",COUNTIFS(Accounts!$A$5:$A$50,E392,Accounts!$D$5:$D$50,"Asset")=1))),AND(B392="Adjustment",F392="",OR(AND(D392&lt;&gt;"",E392="",COUNTIF(Accounts!$A$5:$A$50,D392)=1),AND(D392="",E392&lt;&gt;"",COUNTIF(Accounts!$A$5:$A$50,E392)=1)))),"OK","CHECK: Type / account / category combination")))</f>
        <v/>
      </c>
    </row>
    <row r="393" spans="1:9">
      <c r="A393" s="56"/>
      <c r="C393" s="57"/>
      <c r="I393" s="13" t="str">
        <f>IF(COUNTA(A393:H393)=0,"",IF(OR(A393="",B393="",C393="",C393&lt;=0),"CHECK: Date, Type and positive Amount required",IF(OR(AND(B393="Income",D393="",E393&lt;&gt;"",F393&lt;&gt;"",COUNTIFS(Accounts!$A$5:$A$50,E393,Accounts!$D$5:$D$50,"Asset")=1,COUNTIFS(Categories!$A$5:$A$100,F393,Categories!$C$5:$C$100,"Income")=1),AND(B393="Expense",D393&lt;&gt;"",E393="",F393&lt;&gt;"",COUNTIF(Accounts!$A$5:$A$50,D393)=1,COUNTIFS(Categories!$A$5:$A$100,F393,Categories!$C$5:$C$100,"Expense")=1),AND(B393="Refund",D393="",E393&lt;&gt;"",F393&lt;&gt;"",COUNTIF(Accounts!$A$5:$A$50,E393)=1,COUNTIFS(Categories!$A$5:$A$100,F393,Categories!$C$5:$C$100,"Expense")=1),AND(B393="Transfer",D393&lt;&gt;"",E393&lt;&gt;"",D393&lt;&gt;E393,F393="",COUNTIF(Accounts!$A$5:$A$50,D393)=1,COUNTIF(Accounts!$A$5:$A$50,E393)=1),AND(B393="Allocation",F393="Savings &amp; Investment",OR(AND(D393&lt;&gt;"",E393="",COUNTIFS(Accounts!$A$5:$A$50,D393,Accounts!$D$5:$D$50,"Asset")=1),AND(D393="",E393&lt;&gt;"",COUNTIFS(Accounts!$A$5:$A$50,E393,Accounts!$D$5:$D$50,"Asset")=1))),AND(B393="Adjustment",F393="",OR(AND(D393&lt;&gt;"",E393="",COUNTIF(Accounts!$A$5:$A$50,D393)=1),AND(D393="",E393&lt;&gt;"",COUNTIF(Accounts!$A$5:$A$50,E393)=1)))),"OK","CHECK: Type / account / category combination")))</f>
        <v/>
      </c>
    </row>
    <row r="394" spans="1:9">
      <c r="A394" s="56"/>
      <c r="C394" s="57"/>
      <c r="I394" s="13" t="str">
        <f>IF(COUNTA(A394:H394)=0,"",IF(OR(A394="",B394="",C394="",C394&lt;=0),"CHECK: Date, Type and positive Amount required",IF(OR(AND(B394="Income",D394="",E394&lt;&gt;"",F394&lt;&gt;"",COUNTIFS(Accounts!$A$5:$A$50,E394,Accounts!$D$5:$D$50,"Asset")=1,COUNTIFS(Categories!$A$5:$A$100,F394,Categories!$C$5:$C$100,"Income")=1),AND(B394="Expense",D394&lt;&gt;"",E394="",F394&lt;&gt;"",COUNTIF(Accounts!$A$5:$A$50,D394)=1,COUNTIFS(Categories!$A$5:$A$100,F394,Categories!$C$5:$C$100,"Expense")=1),AND(B394="Refund",D394="",E394&lt;&gt;"",F394&lt;&gt;"",COUNTIF(Accounts!$A$5:$A$50,E394)=1,COUNTIFS(Categories!$A$5:$A$100,F394,Categories!$C$5:$C$100,"Expense")=1),AND(B394="Transfer",D394&lt;&gt;"",E394&lt;&gt;"",D394&lt;&gt;E394,F394="",COUNTIF(Accounts!$A$5:$A$50,D394)=1,COUNTIF(Accounts!$A$5:$A$50,E394)=1),AND(B394="Allocation",F394="Savings &amp; Investment",OR(AND(D394&lt;&gt;"",E394="",COUNTIFS(Accounts!$A$5:$A$50,D394,Accounts!$D$5:$D$50,"Asset")=1),AND(D394="",E394&lt;&gt;"",COUNTIFS(Accounts!$A$5:$A$50,E394,Accounts!$D$5:$D$50,"Asset")=1))),AND(B394="Adjustment",F394="",OR(AND(D394&lt;&gt;"",E394="",COUNTIF(Accounts!$A$5:$A$50,D394)=1),AND(D394="",E394&lt;&gt;"",COUNTIF(Accounts!$A$5:$A$50,E394)=1)))),"OK","CHECK: Type / account / category combination")))</f>
        <v/>
      </c>
    </row>
    <row r="395" spans="1:9">
      <c r="A395" s="56"/>
      <c r="C395" s="57"/>
      <c r="I395" s="13" t="str">
        <f>IF(COUNTA(A395:H395)=0,"",IF(OR(A395="",B395="",C395="",C395&lt;=0),"CHECK: Date, Type and positive Amount required",IF(OR(AND(B395="Income",D395="",E395&lt;&gt;"",F395&lt;&gt;"",COUNTIFS(Accounts!$A$5:$A$50,E395,Accounts!$D$5:$D$50,"Asset")=1,COUNTIFS(Categories!$A$5:$A$100,F395,Categories!$C$5:$C$100,"Income")=1),AND(B395="Expense",D395&lt;&gt;"",E395="",F395&lt;&gt;"",COUNTIF(Accounts!$A$5:$A$50,D395)=1,COUNTIFS(Categories!$A$5:$A$100,F395,Categories!$C$5:$C$100,"Expense")=1),AND(B395="Refund",D395="",E395&lt;&gt;"",F395&lt;&gt;"",COUNTIF(Accounts!$A$5:$A$50,E395)=1,COUNTIFS(Categories!$A$5:$A$100,F395,Categories!$C$5:$C$100,"Expense")=1),AND(B395="Transfer",D395&lt;&gt;"",E395&lt;&gt;"",D395&lt;&gt;E395,F395="",COUNTIF(Accounts!$A$5:$A$50,D395)=1,COUNTIF(Accounts!$A$5:$A$50,E395)=1),AND(B395="Allocation",F395="Savings &amp; Investment",OR(AND(D395&lt;&gt;"",E395="",COUNTIFS(Accounts!$A$5:$A$50,D395,Accounts!$D$5:$D$50,"Asset")=1),AND(D395="",E395&lt;&gt;"",COUNTIFS(Accounts!$A$5:$A$50,E395,Accounts!$D$5:$D$50,"Asset")=1))),AND(B395="Adjustment",F395="",OR(AND(D395&lt;&gt;"",E395="",COUNTIF(Accounts!$A$5:$A$50,D395)=1),AND(D395="",E395&lt;&gt;"",COUNTIF(Accounts!$A$5:$A$50,E395)=1)))),"OK","CHECK: Type / account / category combination")))</f>
        <v/>
      </c>
    </row>
    <row r="396" spans="1:9">
      <c r="A396" s="56"/>
      <c r="C396" s="57"/>
      <c r="I396" s="13" t="str">
        <f>IF(COUNTA(A396:H396)=0,"",IF(OR(A396="",B396="",C396="",C396&lt;=0),"CHECK: Date, Type and positive Amount required",IF(OR(AND(B396="Income",D396="",E396&lt;&gt;"",F396&lt;&gt;"",COUNTIFS(Accounts!$A$5:$A$50,E396,Accounts!$D$5:$D$50,"Asset")=1,COUNTIFS(Categories!$A$5:$A$100,F396,Categories!$C$5:$C$100,"Income")=1),AND(B396="Expense",D396&lt;&gt;"",E396="",F396&lt;&gt;"",COUNTIF(Accounts!$A$5:$A$50,D396)=1,COUNTIFS(Categories!$A$5:$A$100,F396,Categories!$C$5:$C$100,"Expense")=1),AND(B396="Refund",D396="",E396&lt;&gt;"",F396&lt;&gt;"",COUNTIF(Accounts!$A$5:$A$50,E396)=1,COUNTIFS(Categories!$A$5:$A$100,F396,Categories!$C$5:$C$100,"Expense")=1),AND(B396="Transfer",D396&lt;&gt;"",E396&lt;&gt;"",D396&lt;&gt;E396,F396="",COUNTIF(Accounts!$A$5:$A$50,D396)=1,COUNTIF(Accounts!$A$5:$A$50,E396)=1),AND(B396="Allocation",F396="Savings &amp; Investment",OR(AND(D396&lt;&gt;"",E396="",COUNTIFS(Accounts!$A$5:$A$50,D396,Accounts!$D$5:$D$50,"Asset")=1),AND(D396="",E396&lt;&gt;"",COUNTIFS(Accounts!$A$5:$A$50,E396,Accounts!$D$5:$D$50,"Asset")=1))),AND(B396="Adjustment",F396="",OR(AND(D396&lt;&gt;"",E396="",COUNTIF(Accounts!$A$5:$A$50,D396)=1),AND(D396="",E396&lt;&gt;"",COUNTIF(Accounts!$A$5:$A$50,E396)=1)))),"OK","CHECK: Type / account / category combination")))</f>
        <v/>
      </c>
    </row>
    <row r="397" spans="1:9">
      <c r="A397" s="56"/>
      <c r="C397" s="57"/>
      <c r="I397" s="13" t="str">
        <f>IF(COUNTA(A397:H397)=0,"",IF(OR(A397="",B397="",C397="",C397&lt;=0),"CHECK: Date, Type and positive Amount required",IF(OR(AND(B397="Income",D397="",E397&lt;&gt;"",F397&lt;&gt;"",COUNTIFS(Accounts!$A$5:$A$50,E397,Accounts!$D$5:$D$50,"Asset")=1,COUNTIFS(Categories!$A$5:$A$100,F397,Categories!$C$5:$C$100,"Income")=1),AND(B397="Expense",D397&lt;&gt;"",E397="",F397&lt;&gt;"",COUNTIF(Accounts!$A$5:$A$50,D397)=1,COUNTIFS(Categories!$A$5:$A$100,F397,Categories!$C$5:$C$100,"Expense")=1),AND(B397="Refund",D397="",E397&lt;&gt;"",F397&lt;&gt;"",COUNTIF(Accounts!$A$5:$A$50,E397)=1,COUNTIFS(Categories!$A$5:$A$100,F397,Categories!$C$5:$C$100,"Expense")=1),AND(B397="Transfer",D397&lt;&gt;"",E397&lt;&gt;"",D397&lt;&gt;E397,F397="",COUNTIF(Accounts!$A$5:$A$50,D397)=1,COUNTIF(Accounts!$A$5:$A$50,E397)=1),AND(B397="Allocation",F397="Savings &amp; Investment",OR(AND(D397&lt;&gt;"",E397="",COUNTIFS(Accounts!$A$5:$A$50,D397,Accounts!$D$5:$D$50,"Asset")=1),AND(D397="",E397&lt;&gt;"",COUNTIFS(Accounts!$A$5:$A$50,E397,Accounts!$D$5:$D$50,"Asset")=1))),AND(B397="Adjustment",F397="",OR(AND(D397&lt;&gt;"",E397="",COUNTIF(Accounts!$A$5:$A$50,D397)=1),AND(D397="",E397&lt;&gt;"",COUNTIF(Accounts!$A$5:$A$50,E397)=1)))),"OK","CHECK: Type / account / category combination")))</f>
        <v/>
      </c>
    </row>
    <row r="398" spans="1:9">
      <c r="A398" s="56"/>
      <c r="C398" s="57"/>
      <c r="I398" s="13" t="str">
        <f>IF(COUNTA(A398:H398)=0,"",IF(OR(A398="",B398="",C398="",C398&lt;=0),"CHECK: Date, Type and positive Amount required",IF(OR(AND(B398="Income",D398="",E398&lt;&gt;"",F398&lt;&gt;"",COUNTIFS(Accounts!$A$5:$A$50,E398,Accounts!$D$5:$D$50,"Asset")=1,COUNTIFS(Categories!$A$5:$A$100,F398,Categories!$C$5:$C$100,"Income")=1),AND(B398="Expense",D398&lt;&gt;"",E398="",F398&lt;&gt;"",COUNTIF(Accounts!$A$5:$A$50,D398)=1,COUNTIFS(Categories!$A$5:$A$100,F398,Categories!$C$5:$C$100,"Expense")=1),AND(B398="Refund",D398="",E398&lt;&gt;"",F398&lt;&gt;"",COUNTIF(Accounts!$A$5:$A$50,E398)=1,COUNTIFS(Categories!$A$5:$A$100,F398,Categories!$C$5:$C$100,"Expense")=1),AND(B398="Transfer",D398&lt;&gt;"",E398&lt;&gt;"",D398&lt;&gt;E398,F398="",COUNTIF(Accounts!$A$5:$A$50,D398)=1,COUNTIF(Accounts!$A$5:$A$50,E398)=1),AND(B398="Allocation",F398="Savings &amp; Investment",OR(AND(D398&lt;&gt;"",E398="",COUNTIFS(Accounts!$A$5:$A$50,D398,Accounts!$D$5:$D$50,"Asset")=1),AND(D398="",E398&lt;&gt;"",COUNTIFS(Accounts!$A$5:$A$50,E398,Accounts!$D$5:$D$50,"Asset")=1))),AND(B398="Adjustment",F398="",OR(AND(D398&lt;&gt;"",E398="",COUNTIF(Accounts!$A$5:$A$50,D398)=1),AND(D398="",E398&lt;&gt;"",COUNTIF(Accounts!$A$5:$A$50,E398)=1)))),"OK","CHECK: Type / account / category combination")))</f>
        <v/>
      </c>
    </row>
    <row r="399" spans="1:9">
      <c r="A399" s="56"/>
      <c r="C399" s="57"/>
      <c r="I399" s="13" t="str">
        <f>IF(COUNTA(A399:H399)=0,"",IF(OR(A399="",B399="",C399="",C399&lt;=0),"CHECK: Date, Type and positive Amount required",IF(OR(AND(B399="Income",D399="",E399&lt;&gt;"",F399&lt;&gt;"",COUNTIFS(Accounts!$A$5:$A$50,E399,Accounts!$D$5:$D$50,"Asset")=1,COUNTIFS(Categories!$A$5:$A$100,F399,Categories!$C$5:$C$100,"Income")=1),AND(B399="Expense",D399&lt;&gt;"",E399="",F399&lt;&gt;"",COUNTIF(Accounts!$A$5:$A$50,D399)=1,COUNTIFS(Categories!$A$5:$A$100,F399,Categories!$C$5:$C$100,"Expense")=1),AND(B399="Refund",D399="",E399&lt;&gt;"",F399&lt;&gt;"",COUNTIF(Accounts!$A$5:$A$50,E399)=1,COUNTIFS(Categories!$A$5:$A$100,F399,Categories!$C$5:$C$100,"Expense")=1),AND(B399="Transfer",D399&lt;&gt;"",E399&lt;&gt;"",D399&lt;&gt;E399,F399="",COUNTIF(Accounts!$A$5:$A$50,D399)=1,COUNTIF(Accounts!$A$5:$A$50,E399)=1),AND(B399="Allocation",F399="Savings &amp; Investment",OR(AND(D399&lt;&gt;"",E399="",COUNTIFS(Accounts!$A$5:$A$50,D399,Accounts!$D$5:$D$50,"Asset")=1),AND(D399="",E399&lt;&gt;"",COUNTIFS(Accounts!$A$5:$A$50,E399,Accounts!$D$5:$D$50,"Asset")=1))),AND(B399="Adjustment",F399="",OR(AND(D399&lt;&gt;"",E399="",COUNTIF(Accounts!$A$5:$A$50,D399)=1),AND(D399="",E399&lt;&gt;"",COUNTIF(Accounts!$A$5:$A$50,E399)=1)))),"OK","CHECK: Type / account / category combination")))</f>
        <v/>
      </c>
    </row>
    <row r="400" spans="1:9">
      <c r="A400" s="56"/>
      <c r="C400" s="57"/>
      <c r="I400" s="13" t="str">
        <f>IF(COUNTA(A400:H400)=0,"",IF(OR(A400="",B400="",C400="",C400&lt;=0),"CHECK: Date, Type and positive Amount required",IF(OR(AND(B400="Income",D400="",E400&lt;&gt;"",F400&lt;&gt;"",COUNTIFS(Accounts!$A$5:$A$50,E400,Accounts!$D$5:$D$50,"Asset")=1,COUNTIFS(Categories!$A$5:$A$100,F400,Categories!$C$5:$C$100,"Income")=1),AND(B400="Expense",D400&lt;&gt;"",E400="",F400&lt;&gt;"",COUNTIF(Accounts!$A$5:$A$50,D400)=1,COUNTIFS(Categories!$A$5:$A$100,F400,Categories!$C$5:$C$100,"Expense")=1),AND(B400="Refund",D400="",E400&lt;&gt;"",F400&lt;&gt;"",COUNTIF(Accounts!$A$5:$A$50,E400)=1,COUNTIFS(Categories!$A$5:$A$100,F400,Categories!$C$5:$C$100,"Expense")=1),AND(B400="Transfer",D400&lt;&gt;"",E400&lt;&gt;"",D400&lt;&gt;E400,F400="",COUNTIF(Accounts!$A$5:$A$50,D400)=1,COUNTIF(Accounts!$A$5:$A$50,E400)=1),AND(B400="Allocation",F400="Savings &amp; Investment",OR(AND(D400&lt;&gt;"",E400="",COUNTIFS(Accounts!$A$5:$A$50,D400,Accounts!$D$5:$D$50,"Asset")=1),AND(D400="",E400&lt;&gt;"",COUNTIFS(Accounts!$A$5:$A$50,E400,Accounts!$D$5:$D$50,"Asset")=1))),AND(B400="Adjustment",F400="",OR(AND(D400&lt;&gt;"",E400="",COUNTIF(Accounts!$A$5:$A$50,D400)=1),AND(D400="",E400&lt;&gt;"",COUNTIF(Accounts!$A$5:$A$50,E400)=1)))),"OK","CHECK: Type / account / category combination")))</f>
        <v/>
      </c>
    </row>
    <row r="401" spans="1:9">
      <c r="A401" s="56"/>
      <c r="C401" s="57"/>
      <c r="I401" s="13" t="str">
        <f>IF(COUNTA(A401:H401)=0,"",IF(OR(A401="",B401="",C401="",C401&lt;=0),"CHECK: Date, Type and positive Amount required",IF(OR(AND(B401="Income",D401="",E401&lt;&gt;"",F401&lt;&gt;"",COUNTIFS(Accounts!$A$5:$A$50,E401,Accounts!$D$5:$D$50,"Asset")=1,COUNTIFS(Categories!$A$5:$A$100,F401,Categories!$C$5:$C$100,"Income")=1),AND(B401="Expense",D401&lt;&gt;"",E401="",F401&lt;&gt;"",COUNTIF(Accounts!$A$5:$A$50,D401)=1,COUNTIFS(Categories!$A$5:$A$100,F401,Categories!$C$5:$C$100,"Expense")=1),AND(B401="Refund",D401="",E401&lt;&gt;"",F401&lt;&gt;"",COUNTIF(Accounts!$A$5:$A$50,E401)=1,COUNTIFS(Categories!$A$5:$A$100,F401,Categories!$C$5:$C$100,"Expense")=1),AND(B401="Transfer",D401&lt;&gt;"",E401&lt;&gt;"",D401&lt;&gt;E401,F401="",COUNTIF(Accounts!$A$5:$A$50,D401)=1,COUNTIF(Accounts!$A$5:$A$50,E401)=1),AND(B401="Allocation",F401="Savings &amp; Investment",OR(AND(D401&lt;&gt;"",E401="",COUNTIFS(Accounts!$A$5:$A$50,D401,Accounts!$D$5:$D$50,"Asset")=1),AND(D401="",E401&lt;&gt;"",COUNTIFS(Accounts!$A$5:$A$50,E401,Accounts!$D$5:$D$50,"Asset")=1))),AND(B401="Adjustment",F401="",OR(AND(D401&lt;&gt;"",E401="",COUNTIF(Accounts!$A$5:$A$50,D401)=1),AND(D401="",E401&lt;&gt;"",COUNTIF(Accounts!$A$5:$A$50,E401)=1)))),"OK","CHECK: Type / account / category combination")))</f>
        <v/>
      </c>
    </row>
    <row r="402" spans="1:9">
      <c r="A402" s="56"/>
      <c r="C402" s="57"/>
      <c r="I402" s="13" t="str">
        <f>IF(COUNTA(A402:H402)=0,"",IF(OR(A402="",B402="",C402="",C402&lt;=0),"CHECK: Date, Type and positive Amount required",IF(OR(AND(B402="Income",D402="",E402&lt;&gt;"",F402&lt;&gt;"",COUNTIFS(Accounts!$A$5:$A$50,E402,Accounts!$D$5:$D$50,"Asset")=1,COUNTIFS(Categories!$A$5:$A$100,F402,Categories!$C$5:$C$100,"Income")=1),AND(B402="Expense",D402&lt;&gt;"",E402="",F402&lt;&gt;"",COUNTIF(Accounts!$A$5:$A$50,D402)=1,COUNTIFS(Categories!$A$5:$A$100,F402,Categories!$C$5:$C$100,"Expense")=1),AND(B402="Refund",D402="",E402&lt;&gt;"",F402&lt;&gt;"",COUNTIF(Accounts!$A$5:$A$50,E402)=1,COUNTIFS(Categories!$A$5:$A$100,F402,Categories!$C$5:$C$100,"Expense")=1),AND(B402="Transfer",D402&lt;&gt;"",E402&lt;&gt;"",D402&lt;&gt;E402,F402="",COUNTIF(Accounts!$A$5:$A$50,D402)=1,COUNTIF(Accounts!$A$5:$A$50,E402)=1),AND(B402="Allocation",F402="Savings &amp; Investment",OR(AND(D402&lt;&gt;"",E402="",COUNTIFS(Accounts!$A$5:$A$50,D402,Accounts!$D$5:$D$50,"Asset")=1),AND(D402="",E402&lt;&gt;"",COUNTIFS(Accounts!$A$5:$A$50,E402,Accounts!$D$5:$D$50,"Asset")=1))),AND(B402="Adjustment",F402="",OR(AND(D402&lt;&gt;"",E402="",COUNTIF(Accounts!$A$5:$A$50,D402)=1),AND(D402="",E402&lt;&gt;"",COUNTIF(Accounts!$A$5:$A$50,E402)=1)))),"OK","CHECK: Type / account / category combination")))</f>
        <v/>
      </c>
    </row>
    <row r="403" spans="1:9">
      <c r="A403" s="56"/>
      <c r="C403" s="57"/>
      <c r="I403" s="13" t="str">
        <f>IF(COUNTA(A403:H403)=0,"",IF(OR(A403="",B403="",C403="",C403&lt;=0),"CHECK: Date, Type and positive Amount required",IF(OR(AND(B403="Income",D403="",E403&lt;&gt;"",F403&lt;&gt;"",COUNTIFS(Accounts!$A$5:$A$50,E403,Accounts!$D$5:$D$50,"Asset")=1,COUNTIFS(Categories!$A$5:$A$100,F403,Categories!$C$5:$C$100,"Income")=1),AND(B403="Expense",D403&lt;&gt;"",E403="",F403&lt;&gt;"",COUNTIF(Accounts!$A$5:$A$50,D403)=1,COUNTIFS(Categories!$A$5:$A$100,F403,Categories!$C$5:$C$100,"Expense")=1),AND(B403="Refund",D403="",E403&lt;&gt;"",F403&lt;&gt;"",COUNTIF(Accounts!$A$5:$A$50,E403)=1,COUNTIFS(Categories!$A$5:$A$100,F403,Categories!$C$5:$C$100,"Expense")=1),AND(B403="Transfer",D403&lt;&gt;"",E403&lt;&gt;"",D403&lt;&gt;E403,F403="",COUNTIF(Accounts!$A$5:$A$50,D403)=1,COUNTIF(Accounts!$A$5:$A$50,E403)=1),AND(B403="Allocation",F403="Savings &amp; Investment",OR(AND(D403&lt;&gt;"",E403="",COUNTIFS(Accounts!$A$5:$A$50,D403,Accounts!$D$5:$D$50,"Asset")=1),AND(D403="",E403&lt;&gt;"",COUNTIFS(Accounts!$A$5:$A$50,E403,Accounts!$D$5:$D$50,"Asset")=1))),AND(B403="Adjustment",F403="",OR(AND(D403&lt;&gt;"",E403="",COUNTIF(Accounts!$A$5:$A$50,D403)=1),AND(D403="",E403&lt;&gt;"",COUNTIF(Accounts!$A$5:$A$50,E403)=1)))),"OK","CHECK: Type / account / category combination")))</f>
        <v/>
      </c>
    </row>
    <row r="404" spans="1:9">
      <c r="A404" s="56"/>
      <c r="C404" s="57"/>
      <c r="I404" s="13" t="str">
        <f>IF(COUNTA(A404:H404)=0,"",IF(OR(A404="",B404="",C404="",C404&lt;=0),"CHECK: Date, Type and positive Amount required",IF(OR(AND(B404="Income",D404="",E404&lt;&gt;"",F404&lt;&gt;"",COUNTIFS(Accounts!$A$5:$A$50,E404,Accounts!$D$5:$D$50,"Asset")=1,COUNTIFS(Categories!$A$5:$A$100,F404,Categories!$C$5:$C$100,"Income")=1),AND(B404="Expense",D404&lt;&gt;"",E404="",F404&lt;&gt;"",COUNTIF(Accounts!$A$5:$A$50,D404)=1,COUNTIFS(Categories!$A$5:$A$100,F404,Categories!$C$5:$C$100,"Expense")=1),AND(B404="Refund",D404="",E404&lt;&gt;"",F404&lt;&gt;"",COUNTIF(Accounts!$A$5:$A$50,E404)=1,COUNTIFS(Categories!$A$5:$A$100,F404,Categories!$C$5:$C$100,"Expense")=1),AND(B404="Transfer",D404&lt;&gt;"",E404&lt;&gt;"",D404&lt;&gt;E404,F404="",COUNTIF(Accounts!$A$5:$A$50,D404)=1,COUNTIF(Accounts!$A$5:$A$50,E404)=1),AND(B404="Allocation",F404="Savings &amp; Investment",OR(AND(D404&lt;&gt;"",E404="",COUNTIFS(Accounts!$A$5:$A$50,D404,Accounts!$D$5:$D$50,"Asset")=1),AND(D404="",E404&lt;&gt;"",COUNTIFS(Accounts!$A$5:$A$50,E404,Accounts!$D$5:$D$50,"Asset")=1))),AND(B404="Adjustment",F404="",OR(AND(D404&lt;&gt;"",E404="",COUNTIF(Accounts!$A$5:$A$50,D404)=1),AND(D404="",E404&lt;&gt;"",COUNTIF(Accounts!$A$5:$A$50,E404)=1)))),"OK","CHECK: Type / account / category combination")))</f>
        <v/>
      </c>
    </row>
    <row r="405" spans="1:9">
      <c r="A405" s="56"/>
      <c r="C405" s="57"/>
      <c r="I405" s="13" t="str">
        <f>IF(COUNTA(A405:H405)=0,"",IF(OR(A405="",B405="",C405="",C405&lt;=0),"CHECK: Date, Type and positive Amount required",IF(OR(AND(B405="Income",D405="",E405&lt;&gt;"",F405&lt;&gt;"",COUNTIFS(Accounts!$A$5:$A$50,E405,Accounts!$D$5:$D$50,"Asset")=1,COUNTIFS(Categories!$A$5:$A$100,F405,Categories!$C$5:$C$100,"Income")=1),AND(B405="Expense",D405&lt;&gt;"",E405="",F405&lt;&gt;"",COUNTIF(Accounts!$A$5:$A$50,D405)=1,COUNTIFS(Categories!$A$5:$A$100,F405,Categories!$C$5:$C$100,"Expense")=1),AND(B405="Refund",D405="",E405&lt;&gt;"",F405&lt;&gt;"",COUNTIF(Accounts!$A$5:$A$50,E405)=1,COUNTIFS(Categories!$A$5:$A$100,F405,Categories!$C$5:$C$100,"Expense")=1),AND(B405="Transfer",D405&lt;&gt;"",E405&lt;&gt;"",D405&lt;&gt;E405,F405="",COUNTIF(Accounts!$A$5:$A$50,D405)=1,COUNTIF(Accounts!$A$5:$A$50,E405)=1),AND(B405="Allocation",F405="Savings &amp; Investment",OR(AND(D405&lt;&gt;"",E405="",COUNTIFS(Accounts!$A$5:$A$50,D405,Accounts!$D$5:$D$50,"Asset")=1),AND(D405="",E405&lt;&gt;"",COUNTIFS(Accounts!$A$5:$A$50,E405,Accounts!$D$5:$D$50,"Asset")=1))),AND(B405="Adjustment",F405="",OR(AND(D405&lt;&gt;"",E405="",COUNTIF(Accounts!$A$5:$A$50,D405)=1),AND(D405="",E405&lt;&gt;"",COUNTIF(Accounts!$A$5:$A$50,E405)=1)))),"OK","CHECK: Type / account / category combination")))</f>
        <v/>
      </c>
    </row>
    <row r="406" spans="1:9">
      <c r="A406" s="56"/>
      <c r="C406" s="57"/>
      <c r="I406" s="13" t="str">
        <f>IF(COUNTA(A406:H406)=0,"",IF(OR(A406="",B406="",C406="",C406&lt;=0),"CHECK: Date, Type and positive Amount required",IF(OR(AND(B406="Income",D406="",E406&lt;&gt;"",F406&lt;&gt;"",COUNTIFS(Accounts!$A$5:$A$50,E406,Accounts!$D$5:$D$50,"Asset")=1,COUNTIFS(Categories!$A$5:$A$100,F406,Categories!$C$5:$C$100,"Income")=1),AND(B406="Expense",D406&lt;&gt;"",E406="",F406&lt;&gt;"",COUNTIF(Accounts!$A$5:$A$50,D406)=1,COUNTIFS(Categories!$A$5:$A$100,F406,Categories!$C$5:$C$100,"Expense")=1),AND(B406="Refund",D406="",E406&lt;&gt;"",F406&lt;&gt;"",COUNTIF(Accounts!$A$5:$A$50,E406)=1,COUNTIFS(Categories!$A$5:$A$100,F406,Categories!$C$5:$C$100,"Expense")=1),AND(B406="Transfer",D406&lt;&gt;"",E406&lt;&gt;"",D406&lt;&gt;E406,F406="",COUNTIF(Accounts!$A$5:$A$50,D406)=1,COUNTIF(Accounts!$A$5:$A$50,E406)=1),AND(B406="Allocation",F406="Savings &amp; Investment",OR(AND(D406&lt;&gt;"",E406="",COUNTIFS(Accounts!$A$5:$A$50,D406,Accounts!$D$5:$D$50,"Asset")=1),AND(D406="",E406&lt;&gt;"",COUNTIFS(Accounts!$A$5:$A$50,E406,Accounts!$D$5:$D$50,"Asset")=1))),AND(B406="Adjustment",F406="",OR(AND(D406&lt;&gt;"",E406="",COUNTIF(Accounts!$A$5:$A$50,D406)=1),AND(D406="",E406&lt;&gt;"",COUNTIF(Accounts!$A$5:$A$50,E406)=1)))),"OK","CHECK: Type / account / category combination")))</f>
        <v/>
      </c>
    </row>
    <row r="407" spans="1:9">
      <c r="A407" s="56"/>
      <c r="C407" s="57"/>
      <c r="I407" s="13" t="str">
        <f>IF(COUNTA(A407:H407)=0,"",IF(OR(A407="",B407="",C407="",C407&lt;=0),"CHECK: Date, Type and positive Amount required",IF(OR(AND(B407="Income",D407="",E407&lt;&gt;"",F407&lt;&gt;"",COUNTIFS(Accounts!$A$5:$A$50,E407,Accounts!$D$5:$D$50,"Asset")=1,COUNTIFS(Categories!$A$5:$A$100,F407,Categories!$C$5:$C$100,"Income")=1),AND(B407="Expense",D407&lt;&gt;"",E407="",F407&lt;&gt;"",COUNTIF(Accounts!$A$5:$A$50,D407)=1,COUNTIFS(Categories!$A$5:$A$100,F407,Categories!$C$5:$C$100,"Expense")=1),AND(B407="Refund",D407="",E407&lt;&gt;"",F407&lt;&gt;"",COUNTIF(Accounts!$A$5:$A$50,E407)=1,COUNTIFS(Categories!$A$5:$A$100,F407,Categories!$C$5:$C$100,"Expense")=1),AND(B407="Transfer",D407&lt;&gt;"",E407&lt;&gt;"",D407&lt;&gt;E407,F407="",COUNTIF(Accounts!$A$5:$A$50,D407)=1,COUNTIF(Accounts!$A$5:$A$50,E407)=1),AND(B407="Allocation",F407="Savings &amp; Investment",OR(AND(D407&lt;&gt;"",E407="",COUNTIFS(Accounts!$A$5:$A$50,D407,Accounts!$D$5:$D$50,"Asset")=1),AND(D407="",E407&lt;&gt;"",COUNTIFS(Accounts!$A$5:$A$50,E407,Accounts!$D$5:$D$50,"Asset")=1))),AND(B407="Adjustment",F407="",OR(AND(D407&lt;&gt;"",E407="",COUNTIF(Accounts!$A$5:$A$50,D407)=1),AND(D407="",E407&lt;&gt;"",COUNTIF(Accounts!$A$5:$A$50,E407)=1)))),"OK","CHECK: Type / account / category combination")))</f>
        <v/>
      </c>
    </row>
    <row r="408" spans="1:9">
      <c r="A408" s="56"/>
      <c r="C408" s="57"/>
      <c r="I408" s="13" t="str">
        <f>IF(COUNTA(A408:H408)=0,"",IF(OR(A408="",B408="",C408="",C408&lt;=0),"CHECK: Date, Type and positive Amount required",IF(OR(AND(B408="Income",D408="",E408&lt;&gt;"",F408&lt;&gt;"",COUNTIFS(Accounts!$A$5:$A$50,E408,Accounts!$D$5:$D$50,"Asset")=1,COUNTIFS(Categories!$A$5:$A$100,F408,Categories!$C$5:$C$100,"Income")=1),AND(B408="Expense",D408&lt;&gt;"",E408="",F408&lt;&gt;"",COUNTIF(Accounts!$A$5:$A$50,D408)=1,COUNTIFS(Categories!$A$5:$A$100,F408,Categories!$C$5:$C$100,"Expense")=1),AND(B408="Refund",D408="",E408&lt;&gt;"",F408&lt;&gt;"",COUNTIF(Accounts!$A$5:$A$50,E408)=1,COUNTIFS(Categories!$A$5:$A$100,F408,Categories!$C$5:$C$100,"Expense")=1),AND(B408="Transfer",D408&lt;&gt;"",E408&lt;&gt;"",D408&lt;&gt;E408,F408="",COUNTIF(Accounts!$A$5:$A$50,D408)=1,COUNTIF(Accounts!$A$5:$A$50,E408)=1),AND(B408="Allocation",F408="Savings &amp; Investment",OR(AND(D408&lt;&gt;"",E408="",COUNTIFS(Accounts!$A$5:$A$50,D408,Accounts!$D$5:$D$50,"Asset")=1),AND(D408="",E408&lt;&gt;"",COUNTIFS(Accounts!$A$5:$A$50,E408,Accounts!$D$5:$D$50,"Asset")=1))),AND(B408="Adjustment",F408="",OR(AND(D408&lt;&gt;"",E408="",COUNTIF(Accounts!$A$5:$A$50,D408)=1),AND(D408="",E408&lt;&gt;"",COUNTIF(Accounts!$A$5:$A$50,E408)=1)))),"OK","CHECK: Type / account / category combination")))</f>
        <v/>
      </c>
    </row>
    <row r="409" spans="1:9">
      <c r="A409" s="56"/>
      <c r="C409" s="57"/>
      <c r="I409" s="13" t="str">
        <f>IF(COUNTA(A409:H409)=0,"",IF(OR(A409="",B409="",C409="",C409&lt;=0),"CHECK: Date, Type and positive Amount required",IF(OR(AND(B409="Income",D409="",E409&lt;&gt;"",F409&lt;&gt;"",COUNTIFS(Accounts!$A$5:$A$50,E409,Accounts!$D$5:$D$50,"Asset")=1,COUNTIFS(Categories!$A$5:$A$100,F409,Categories!$C$5:$C$100,"Income")=1),AND(B409="Expense",D409&lt;&gt;"",E409="",F409&lt;&gt;"",COUNTIF(Accounts!$A$5:$A$50,D409)=1,COUNTIFS(Categories!$A$5:$A$100,F409,Categories!$C$5:$C$100,"Expense")=1),AND(B409="Refund",D409="",E409&lt;&gt;"",F409&lt;&gt;"",COUNTIF(Accounts!$A$5:$A$50,E409)=1,COUNTIFS(Categories!$A$5:$A$100,F409,Categories!$C$5:$C$100,"Expense")=1),AND(B409="Transfer",D409&lt;&gt;"",E409&lt;&gt;"",D409&lt;&gt;E409,F409="",COUNTIF(Accounts!$A$5:$A$50,D409)=1,COUNTIF(Accounts!$A$5:$A$50,E409)=1),AND(B409="Allocation",F409="Savings &amp; Investment",OR(AND(D409&lt;&gt;"",E409="",COUNTIFS(Accounts!$A$5:$A$50,D409,Accounts!$D$5:$D$50,"Asset")=1),AND(D409="",E409&lt;&gt;"",COUNTIFS(Accounts!$A$5:$A$50,E409,Accounts!$D$5:$D$50,"Asset")=1))),AND(B409="Adjustment",F409="",OR(AND(D409&lt;&gt;"",E409="",COUNTIF(Accounts!$A$5:$A$50,D409)=1),AND(D409="",E409&lt;&gt;"",COUNTIF(Accounts!$A$5:$A$50,E409)=1)))),"OK","CHECK: Type / account / category combination")))</f>
        <v/>
      </c>
    </row>
    <row r="410" spans="1:9">
      <c r="A410" s="56"/>
      <c r="C410" s="57"/>
      <c r="I410" s="13" t="str">
        <f>IF(COUNTA(A410:H410)=0,"",IF(OR(A410="",B410="",C410="",C410&lt;=0),"CHECK: Date, Type and positive Amount required",IF(OR(AND(B410="Income",D410="",E410&lt;&gt;"",F410&lt;&gt;"",COUNTIFS(Accounts!$A$5:$A$50,E410,Accounts!$D$5:$D$50,"Asset")=1,COUNTIFS(Categories!$A$5:$A$100,F410,Categories!$C$5:$C$100,"Income")=1),AND(B410="Expense",D410&lt;&gt;"",E410="",F410&lt;&gt;"",COUNTIF(Accounts!$A$5:$A$50,D410)=1,COUNTIFS(Categories!$A$5:$A$100,F410,Categories!$C$5:$C$100,"Expense")=1),AND(B410="Refund",D410="",E410&lt;&gt;"",F410&lt;&gt;"",COUNTIF(Accounts!$A$5:$A$50,E410)=1,COUNTIFS(Categories!$A$5:$A$100,F410,Categories!$C$5:$C$100,"Expense")=1),AND(B410="Transfer",D410&lt;&gt;"",E410&lt;&gt;"",D410&lt;&gt;E410,F410="",COUNTIF(Accounts!$A$5:$A$50,D410)=1,COUNTIF(Accounts!$A$5:$A$50,E410)=1),AND(B410="Allocation",F410="Savings &amp; Investment",OR(AND(D410&lt;&gt;"",E410="",COUNTIFS(Accounts!$A$5:$A$50,D410,Accounts!$D$5:$D$50,"Asset")=1),AND(D410="",E410&lt;&gt;"",COUNTIFS(Accounts!$A$5:$A$50,E410,Accounts!$D$5:$D$50,"Asset")=1))),AND(B410="Adjustment",F410="",OR(AND(D410&lt;&gt;"",E410="",COUNTIF(Accounts!$A$5:$A$50,D410)=1),AND(D410="",E410&lt;&gt;"",COUNTIF(Accounts!$A$5:$A$50,E410)=1)))),"OK","CHECK: Type / account / category combination")))</f>
        <v/>
      </c>
    </row>
    <row r="411" spans="1:9">
      <c r="A411" s="56"/>
      <c r="C411" s="57"/>
      <c r="I411" s="13" t="str">
        <f>IF(COUNTA(A411:H411)=0,"",IF(OR(A411="",B411="",C411="",C411&lt;=0),"CHECK: Date, Type and positive Amount required",IF(OR(AND(B411="Income",D411="",E411&lt;&gt;"",F411&lt;&gt;"",COUNTIFS(Accounts!$A$5:$A$50,E411,Accounts!$D$5:$D$50,"Asset")=1,COUNTIFS(Categories!$A$5:$A$100,F411,Categories!$C$5:$C$100,"Income")=1),AND(B411="Expense",D411&lt;&gt;"",E411="",F411&lt;&gt;"",COUNTIF(Accounts!$A$5:$A$50,D411)=1,COUNTIFS(Categories!$A$5:$A$100,F411,Categories!$C$5:$C$100,"Expense")=1),AND(B411="Refund",D411="",E411&lt;&gt;"",F411&lt;&gt;"",COUNTIF(Accounts!$A$5:$A$50,E411)=1,COUNTIFS(Categories!$A$5:$A$100,F411,Categories!$C$5:$C$100,"Expense")=1),AND(B411="Transfer",D411&lt;&gt;"",E411&lt;&gt;"",D411&lt;&gt;E411,F411="",COUNTIF(Accounts!$A$5:$A$50,D411)=1,COUNTIF(Accounts!$A$5:$A$50,E411)=1),AND(B411="Allocation",F411="Savings &amp; Investment",OR(AND(D411&lt;&gt;"",E411="",COUNTIFS(Accounts!$A$5:$A$50,D411,Accounts!$D$5:$D$50,"Asset")=1),AND(D411="",E411&lt;&gt;"",COUNTIFS(Accounts!$A$5:$A$50,E411,Accounts!$D$5:$D$50,"Asset")=1))),AND(B411="Adjustment",F411="",OR(AND(D411&lt;&gt;"",E411="",COUNTIF(Accounts!$A$5:$A$50,D411)=1),AND(D411="",E411&lt;&gt;"",COUNTIF(Accounts!$A$5:$A$50,E411)=1)))),"OK","CHECK: Type / account / category combination")))</f>
        <v/>
      </c>
    </row>
    <row r="412" spans="1:9">
      <c r="A412" s="56"/>
      <c r="C412" s="57"/>
      <c r="I412" s="13" t="str">
        <f>IF(COUNTA(A412:H412)=0,"",IF(OR(A412="",B412="",C412="",C412&lt;=0),"CHECK: Date, Type and positive Amount required",IF(OR(AND(B412="Income",D412="",E412&lt;&gt;"",F412&lt;&gt;"",COUNTIFS(Accounts!$A$5:$A$50,E412,Accounts!$D$5:$D$50,"Asset")=1,COUNTIFS(Categories!$A$5:$A$100,F412,Categories!$C$5:$C$100,"Income")=1),AND(B412="Expense",D412&lt;&gt;"",E412="",F412&lt;&gt;"",COUNTIF(Accounts!$A$5:$A$50,D412)=1,COUNTIFS(Categories!$A$5:$A$100,F412,Categories!$C$5:$C$100,"Expense")=1),AND(B412="Refund",D412="",E412&lt;&gt;"",F412&lt;&gt;"",COUNTIF(Accounts!$A$5:$A$50,E412)=1,COUNTIFS(Categories!$A$5:$A$100,F412,Categories!$C$5:$C$100,"Expense")=1),AND(B412="Transfer",D412&lt;&gt;"",E412&lt;&gt;"",D412&lt;&gt;E412,F412="",COUNTIF(Accounts!$A$5:$A$50,D412)=1,COUNTIF(Accounts!$A$5:$A$50,E412)=1),AND(B412="Allocation",F412="Savings &amp; Investment",OR(AND(D412&lt;&gt;"",E412="",COUNTIFS(Accounts!$A$5:$A$50,D412,Accounts!$D$5:$D$50,"Asset")=1),AND(D412="",E412&lt;&gt;"",COUNTIFS(Accounts!$A$5:$A$50,E412,Accounts!$D$5:$D$50,"Asset")=1))),AND(B412="Adjustment",F412="",OR(AND(D412&lt;&gt;"",E412="",COUNTIF(Accounts!$A$5:$A$50,D412)=1),AND(D412="",E412&lt;&gt;"",COUNTIF(Accounts!$A$5:$A$50,E412)=1)))),"OK","CHECK: Type / account / category combination")))</f>
        <v/>
      </c>
    </row>
    <row r="413" spans="1:9">
      <c r="A413" s="56"/>
      <c r="C413" s="57"/>
      <c r="I413" s="13" t="str">
        <f>IF(COUNTA(A413:H413)=0,"",IF(OR(A413="",B413="",C413="",C413&lt;=0),"CHECK: Date, Type and positive Amount required",IF(OR(AND(B413="Income",D413="",E413&lt;&gt;"",F413&lt;&gt;"",COUNTIFS(Accounts!$A$5:$A$50,E413,Accounts!$D$5:$D$50,"Asset")=1,COUNTIFS(Categories!$A$5:$A$100,F413,Categories!$C$5:$C$100,"Income")=1),AND(B413="Expense",D413&lt;&gt;"",E413="",F413&lt;&gt;"",COUNTIF(Accounts!$A$5:$A$50,D413)=1,COUNTIFS(Categories!$A$5:$A$100,F413,Categories!$C$5:$C$100,"Expense")=1),AND(B413="Refund",D413="",E413&lt;&gt;"",F413&lt;&gt;"",COUNTIF(Accounts!$A$5:$A$50,E413)=1,COUNTIFS(Categories!$A$5:$A$100,F413,Categories!$C$5:$C$100,"Expense")=1),AND(B413="Transfer",D413&lt;&gt;"",E413&lt;&gt;"",D413&lt;&gt;E413,F413="",COUNTIF(Accounts!$A$5:$A$50,D413)=1,COUNTIF(Accounts!$A$5:$A$50,E413)=1),AND(B413="Allocation",F413="Savings &amp; Investment",OR(AND(D413&lt;&gt;"",E413="",COUNTIFS(Accounts!$A$5:$A$50,D413,Accounts!$D$5:$D$50,"Asset")=1),AND(D413="",E413&lt;&gt;"",COUNTIFS(Accounts!$A$5:$A$50,E413,Accounts!$D$5:$D$50,"Asset")=1))),AND(B413="Adjustment",F413="",OR(AND(D413&lt;&gt;"",E413="",COUNTIF(Accounts!$A$5:$A$50,D413)=1),AND(D413="",E413&lt;&gt;"",COUNTIF(Accounts!$A$5:$A$50,E413)=1)))),"OK","CHECK: Type / account / category combination")))</f>
        <v/>
      </c>
    </row>
    <row r="414" spans="1:9">
      <c r="A414" s="56"/>
      <c r="C414" s="57"/>
      <c r="I414" s="13" t="str">
        <f>IF(COUNTA(A414:H414)=0,"",IF(OR(A414="",B414="",C414="",C414&lt;=0),"CHECK: Date, Type and positive Amount required",IF(OR(AND(B414="Income",D414="",E414&lt;&gt;"",F414&lt;&gt;"",COUNTIFS(Accounts!$A$5:$A$50,E414,Accounts!$D$5:$D$50,"Asset")=1,COUNTIFS(Categories!$A$5:$A$100,F414,Categories!$C$5:$C$100,"Income")=1),AND(B414="Expense",D414&lt;&gt;"",E414="",F414&lt;&gt;"",COUNTIF(Accounts!$A$5:$A$50,D414)=1,COUNTIFS(Categories!$A$5:$A$100,F414,Categories!$C$5:$C$100,"Expense")=1),AND(B414="Refund",D414="",E414&lt;&gt;"",F414&lt;&gt;"",COUNTIF(Accounts!$A$5:$A$50,E414)=1,COUNTIFS(Categories!$A$5:$A$100,F414,Categories!$C$5:$C$100,"Expense")=1),AND(B414="Transfer",D414&lt;&gt;"",E414&lt;&gt;"",D414&lt;&gt;E414,F414="",COUNTIF(Accounts!$A$5:$A$50,D414)=1,COUNTIF(Accounts!$A$5:$A$50,E414)=1),AND(B414="Allocation",F414="Savings &amp; Investment",OR(AND(D414&lt;&gt;"",E414="",COUNTIFS(Accounts!$A$5:$A$50,D414,Accounts!$D$5:$D$50,"Asset")=1),AND(D414="",E414&lt;&gt;"",COUNTIFS(Accounts!$A$5:$A$50,E414,Accounts!$D$5:$D$50,"Asset")=1))),AND(B414="Adjustment",F414="",OR(AND(D414&lt;&gt;"",E414="",COUNTIF(Accounts!$A$5:$A$50,D414)=1),AND(D414="",E414&lt;&gt;"",COUNTIF(Accounts!$A$5:$A$50,E414)=1)))),"OK","CHECK: Type / account / category combination")))</f>
        <v/>
      </c>
    </row>
    <row r="415" spans="1:9">
      <c r="A415" s="56"/>
      <c r="C415" s="57"/>
      <c r="I415" s="13" t="str">
        <f>IF(COUNTA(A415:H415)=0,"",IF(OR(A415="",B415="",C415="",C415&lt;=0),"CHECK: Date, Type and positive Amount required",IF(OR(AND(B415="Income",D415="",E415&lt;&gt;"",F415&lt;&gt;"",COUNTIFS(Accounts!$A$5:$A$50,E415,Accounts!$D$5:$D$50,"Asset")=1,COUNTIFS(Categories!$A$5:$A$100,F415,Categories!$C$5:$C$100,"Income")=1),AND(B415="Expense",D415&lt;&gt;"",E415="",F415&lt;&gt;"",COUNTIF(Accounts!$A$5:$A$50,D415)=1,COUNTIFS(Categories!$A$5:$A$100,F415,Categories!$C$5:$C$100,"Expense")=1),AND(B415="Refund",D415="",E415&lt;&gt;"",F415&lt;&gt;"",COUNTIF(Accounts!$A$5:$A$50,E415)=1,COUNTIFS(Categories!$A$5:$A$100,F415,Categories!$C$5:$C$100,"Expense")=1),AND(B415="Transfer",D415&lt;&gt;"",E415&lt;&gt;"",D415&lt;&gt;E415,F415="",COUNTIF(Accounts!$A$5:$A$50,D415)=1,COUNTIF(Accounts!$A$5:$A$50,E415)=1),AND(B415="Allocation",F415="Savings &amp; Investment",OR(AND(D415&lt;&gt;"",E415="",COUNTIFS(Accounts!$A$5:$A$50,D415,Accounts!$D$5:$D$50,"Asset")=1),AND(D415="",E415&lt;&gt;"",COUNTIFS(Accounts!$A$5:$A$50,E415,Accounts!$D$5:$D$50,"Asset")=1))),AND(B415="Adjustment",F415="",OR(AND(D415&lt;&gt;"",E415="",COUNTIF(Accounts!$A$5:$A$50,D415)=1),AND(D415="",E415&lt;&gt;"",COUNTIF(Accounts!$A$5:$A$50,E415)=1)))),"OK","CHECK: Type / account / category combination")))</f>
        <v/>
      </c>
    </row>
    <row r="416" spans="1:9">
      <c r="A416" s="56"/>
      <c r="C416" s="57"/>
      <c r="I416" s="13" t="str">
        <f>IF(COUNTA(A416:H416)=0,"",IF(OR(A416="",B416="",C416="",C416&lt;=0),"CHECK: Date, Type and positive Amount required",IF(OR(AND(B416="Income",D416="",E416&lt;&gt;"",F416&lt;&gt;"",COUNTIFS(Accounts!$A$5:$A$50,E416,Accounts!$D$5:$D$50,"Asset")=1,COUNTIFS(Categories!$A$5:$A$100,F416,Categories!$C$5:$C$100,"Income")=1),AND(B416="Expense",D416&lt;&gt;"",E416="",F416&lt;&gt;"",COUNTIF(Accounts!$A$5:$A$50,D416)=1,COUNTIFS(Categories!$A$5:$A$100,F416,Categories!$C$5:$C$100,"Expense")=1),AND(B416="Refund",D416="",E416&lt;&gt;"",F416&lt;&gt;"",COUNTIF(Accounts!$A$5:$A$50,E416)=1,COUNTIFS(Categories!$A$5:$A$100,F416,Categories!$C$5:$C$100,"Expense")=1),AND(B416="Transfer",D416&lt;&gt;"",E416&lt;&gt;"",D416&lt;&gt;E416,F416="",COUNTIF(Accounts!$A$5:$A$50,D416)=1,COUNTIF(Accounts!$A$5:$A$50,E416)=1),AND(B416="Allocation",F416="Savings &amp; Investment",OR(AND(D416&lt;&gt;"",E416="",COUNTIFS(Accounts!$A$5:$A$50,D416,Accounts!$D$5:$D$50,"Asset")=1),AND(D416="",E416&lt;&gt;"",COUNTIFS(Accounts!$A$5:$A$50,E416,Accounts!$D$5:$D$50,"Asset")=1))),AND(B416="Adjustment",F416="",OR(AND(D416&lt;&gt;"",E416="",COUNTIF(Accounts!$A$5:$A$50,D416)=1),AND(D416="",E416&lt;&gt;"",COUNTIF(Accounts!$A$5:$A$50,E416)=1)))),"OK","CHECK: Type / account / category combination")))</f>
        <v/>
      </c>
    </row>
    <row r="417" spans="1:9">
      <c r="A417" s="56"/>
      <c r="C417" s="57"/>
      <c r="I417" s="13" t="str">
        <f>IF(COUNTA(A417:H417)=0,"",IF(OR(A417="",B417="",C417="",C417&lt;=0),"CHECK: Date, Type and positive Amount required",IF(OR(AND(B417="Income",D417="",E417&lt;&gt;"",F417&lt;&gt;"",COUNTIFS(Accounts!$A$5:$A$50,E417,Accounts!$D$5:$D$50,"Asset")=1,COUNTIFS(Categories!$A$5:$A$100,F417,Categories!$C$5:$C$100,"Income")=1),AND(B417="Expense",D417&lt;&gt;"",E417="",F417&lt;&gt;"",COUNTIF(Accounts!$A$5:$A$50,D417)=1,COUNTIFS(Categories!$A$5:$A$100,F417,Categories!$C$5:$C$100,"Expense")=1),AND(B417="Refund",D417="",E417&lt;&gt;"",F417&lt;&gt;"",COUNTIF(Accounts!$A$5:$A$50,E417)=1,COUNTIFS(Categories!$A$5:$A$100,F417,Categories!$C$5:$C$100,"Expense")=1),AND(B417="Transfer",D417&lt;&gt;"",E417&lt;&gt;"",D417&lt;&gt;E417,F417="",COUNTIF(Accounts!$A$5:$A$50,D417)=1,COUNTIF(Accounts!$A$5:$A$50,E417)=1),AND(B417="Allocation",F417="Savings &amp; Investment",OR(AND(D417&lt;&gt;"",E417="",COUNTIFS(Accounts!$A$5:$A$50,D417,Accounts!$D$5:$D$50,"Asset")=1),AND(D417="",E417&lt;&gt;"",COUNTIFS(Accounts!$A$5:$A$50,E417,Accounts!$D$5:$D$50,"Asset")=1))),AND(B417="Adjustment",F417="",OR(AND(D417&lt;&gt;"",E417="",COUNTIF(Accounts!$A$5:$A$50,D417)=1),AND(D417="",E417&lt;&gt;"",COUNTIF(Accounts!$A$5:$A$50,E417)=1)))),"OK","CHECK: Type / account / category combination")))</f>
        <v/>
      </c>
    </row>
    <row r="418" spans="1:9">
      <c r="A418" s="56"/>
      <c r="C418" s="57"/>
      <c r="I418" s="13" t="str">
        <f>IF(COUNTA(A418:H418)=0,"",IF(OR(A418="",B418="",C418="",C418&lt;=0),"CHECK: Date, Type and positive Amount required",IF(OR(AND(B418="Income",D418="",E418&lt;&gt;"",F418&lt;&gt;"",COUNTIFS(Accounts!$A$5:$A$50,E418,Accounts!$D$5:$D$50,"Asset")=1,COUNTIFS(Categories!$A$5:$A$100,F418,Categories!$C$5:$C$100,"Income")=1),AND(B418="Expense",D418&lt;&gt;"",E418="",F418&lt;&gt;"",COUNTIF(Accounts!$A$5:$A$50,D418)=1,COUNTIFS(Categories!$A$5:$A$100,F418,Categories!$C$5:$C$100,"Expense")=1),AND(B418="Refund",D418="",E418&lt;&gt;"",F418&lt;&gt;"",COUNTIF(Accounts!$A$5:$A$50,E418)=1,COUNTIFS(Categories!$A$5:$A$100,F418,Categories!$C$5:$C$100,"Expense")=1),AND(B418="Transfer",D418&lt;&gt;"",E418&lt;&gt;"",D418&lt;&gt;E418,F418="",COUNTIF(Accounts!$A$5:$A$50,D418)=1,COUNTIF(Accounts!$A$5:$A$50,E418)=1),AND(B418="Allocation",F418="Savings &amp; Investment",OR(AND(D418&lt;&gt;"",E418="",COUNTIFS(Accounts!$A$5:$A$50,D418,Accounts!$D$5:$D$50,"Asset")=1),AND(D418="",E418&lt;&gt;"",COUNTIFS(Accounts!$A$5:$A$50,E418,Accounts!$D$5:$D$50,"Asset")=1))),AND(B418="Adjustment",F418="",OR(AND(D418&lt;&gt;"",E418="",COUNTIF(Accounts!$A$5:$A$50,D418)=1),AND(D418="",E418&lt;&gt;"",COUNTIF(Accounts!$A$5:$A$50,E418)=1)))),"OK","CHECK: Type / account / category combination")))</f>
        <v/>
      </c>
    </row>
    <row r="419" spans="1:9">
      <c r="A419" s="56"/>
      <c r="C419" s="57"/>
      <c r="I419" s="13" t="str">
        <f>IF(COUNTA(A419:H419)=0,"",IF(OR(A419="",B419="",C419="",C419&lt;=0),"CHECK: Date, Type and positive Amount required",IF(OR(AND(B419="Income",D419="",E419&lt;&gt;"",F419&lt;&gt;"",COUNTIFS(Accounts!$A$5:$A$50,E419,Accounts!$D$5:$D$50,"Asset")=1,COUNTIFS(Categories!$A$5:$A$100,F419,Categories!$C$5:$C$100,"Income")=1),AND(B419="Expense",D419&lt;&gt;"",E419="",F419&lt;&gt;"",COUNTIF(Accounts!$A$5:$A$50,D419)=1,COUNTIFS(Categories!$A$5:$A$100,F419,Categories!$C$5:$C$100,"Expense")=1),AND(B419="Refund",D419="",E419&lt;&gt;"",F419&lt;&gt;"",COUNTIF(Accounts!$A$5:$A$50,E419)=1,COUNTIFS(Categories!$A$5:$A$100,F419,Categories!$C$5:$C$100,"Expense")=1),AND(B419="Transfer",D419&lt;&gt;"",E419&lt;&gt;"",D419&lt;&gt;E419,F419="",COUNTIF(Accounts!$A$5:$A$50,D419)=1,COUNTIF(Accounts!$A$5:$A$50,E419)=1),AND(B419="Allocation",F419="Savings &amp; Investment",OR(AND(D419&lt;&gt;"",E419="",COUNTIFS(Accounts!$A$5:$A$50,D419,Accounts!$D$5:$D$50,"Asset")=1),AND(D419="",E419&lt;&gt;"",COUNTIFS(Accounts!$A$5:$A$50,E419,Accounts!$D$5:$D$50,"Asset")=1))),AND(B419="Adjustment",F419="",OR(AND(D419&lt;&gt;"",E419="",COUNTIF(Accounts!$A$5:$A$50,D419)=1),AND(D419="",E419&lt;&gt;"",COUNTIF(Accounts!$A$5:$A$50,E419)=1)))),"OK","CHECK: Type / account / category combination")))</f>
        <v/>
      </c>
    </row>
    <row r="420" spans="1:9">
      <c r="A420" s="56"/>
      <c r="C420" s="57"/>
      <c r="I420" s="13" t="str">
        <f>IF(COUNTA(A420:H420)=0,"",IF(OR(A420="",B420="",C420="",C420&lt;=0),"CHECK: Date, Type and positive Amount required",IF(OR(AND(B420="Income",D420="",E420&lt;&gt;"",F420&lt;&gt;"",COUNTIFS(Accounts!$A$5:$A$50,E420,Accounts!$D$5:$D$50,"Asset")=1,COUNTIFS(Categories!$A$5:$A$100,F420,Categories!$C$5:$C$100,"Income")=1),AND(B420="Expense",D420&lt;&gt;"",E420="",F420&lt;&gt;"",COUNTIF(Accounts!$A$5:$A$50,D420)=1,COUNTIFS(Categories!$A$5:$A$100,F420,Categories!$C$5:$C$100,"Expense")=1),AND(B420="Refund",D420="",E420&lt;&gt;"",F420&lt;&gt;"",COUNTIF(Accounts!$A$5:$A$50,E420)=1,COUNTIFS(Categories!$A$5:$A$100,F420,Categories!$C$5:$C$100,"Expense")=1),AND(B420="Transfer",D420&lt;&gt;"",E420&lt;&gt;"",D420&lt;&gt;E420,F420="",COUNTIF(Accounts!$A$5:$A$50,D420)=1,COUNTIF(Accounts!$A$5:$A$50,E420)=1),AND(B420="Allocation",F420="Savings &amp; Investment",OR(AND(D420&lt;&gt;"",E420="",COUNTIFS(Accounts!$A$5:$A$50,D420,Accounts!$D$5:$D$50,"Asset")=1),AND(D420="",E420&lt;&gt;"",COUNTIFS(Accounts!$A$5:$A$50,E420,Accounts!$D$5:$D$50,"Asset")=1))),AND(B420="Adjustment",F420="",OR(AND(D420&lt;&gt;"",E420="",COUNTIF(Accounts!$A$5:$A$50,D420)=1),AND(D420="",E420&lt;&gt;"",COUNTIF(Accounts!$A$5:$A$50,E420)=1)))),"OK","CHECK: Type / account / category combination")))</f>
        <v/>
      </c>
    </row>
    <row r="421" spans="1:9">
      <c r="A421" s="56"/>
      <c r="C421" s="57"/>
      <c r="I421" s="13" t="str">
        <f>IF(COUNTA(A421:H421)=0,"",IF(OR(A421="",B421="",C421="",C421&lt;=0),"CHECK: Date, Type and positive Amount required",IF(OR(AND(B421="Income",D421="",E421&lt;&gt;"",F421&lt;&gt;"",COUNTIFS(Accounts!$A$5:$A$50,E421,Accounts!$D$5:$D$50,"Asset")=1,COUNTIFS(Categories!$A$5:$A$100,F421,Categories!$C$5:$C$100,"Income")=1),AND(B421="Expense",D421&lt;&gt;"",E421="",F421&lt;&gt;"",COUNTIF(Accounts!$A$5:$A$50,D421)=1,COUNTIFS(Categories!$A$5:$A$100,F421,Categories!$C$5:$C$100,"Expense")=1),AND(B421="Refund",D421="",E421&lt;&gt;"",F421&lt;&gt;"",COUNTIF(Accounts!$A$5:$A$50,E421)=1,COUNTIFS(Categories!$A$5:$A$100,F421,Categories!$C$5:$C$100,"Expense")=1),AND(B421="Transfer",D421&lt;&gt;"",E421&lt;&gt;"",D421&lt;&gt;E421,F421="",COUNTIF(Accounts!$A$5:$A$50,D421)=1,COUNTIF(Accounts!$A$5:$A$50,E421)=1),AND(B421="Allocation",F421="Savings &amp; Investment",OR(AND(D421&lt;&gt;"",E421="",COUNTIFS(Accounts!$A$5:$A$50,D421,Accounts!$D$5:$D$50,"Asset")=1),AND(D421="",E421&lt;&gt;"",COUNTIFS(Accounts!$A$5:$A$50,E421,Accounts!$D$5:$D$50,"Asset")=1))),AND(B421="Adjustment",F421="",OR(AND(D421&lt;&gt;"",E421="",COUNTIF(Accounts!$A$5:$A$50,D421)=1),AND(D421="",E421&lt;&gt;"",COUNTIF(Accounts!$A$5:$A$50,E421)=1)))),"OK","CHECK: Type / account / category combination")))</f>
        <v/>
      </c>
    </row>
    <row r="422" spans="1:9">
      <c r="A422" s="56"/>
      <c r="C422" s="57"/>
      <c r="I422" s="13" t="str">
        <f>IF(COUNTA(A422:H422)=0,"",IF(OR(A422="",B422="",C422="",C422&lt;=0),"CHECK: Date, Type and positive Amount required",IF(OR(AND(B422="Income",D422="",E422&lt;&gt;"",F422&lt;&gt;"",COUNTIFS(Accounts!$A$5:$A$50,E422,Accounts!$D$5:$D$50,"Asset")=1,COUNTIFS(Categories!$A$5:$A$100,F422,Categories!$C$5:$C$100,"Income")=1),AND(B422="Expense",D422&lt;&gt;"",E422="",F422&lt;&gt;"",COUNTIF(Accounts!$A$5:$A$50,D422)=1,COUNTIFS(Categories!$A$5:$A$100,F422,Categories!$C$5:$C$100,"Expense")=1),AND(B422="Refund",D422="",E422&lt;&gt;"",F422&lt;&gt;"",COUNTIF(Accounts!$A$5:$A$50,E422)=1,COUNTIFS(Categories!$A$5:$A$100,F422,Categories!$C$5:$C$100,"Expense")=1),AND(B422="Transfer",D422&lt;&gt;"",E422&lt;&gt;"",D422&lt;&gt;E422,F422="",COUNTIF(Accounts!$A$5:$A$50,D422)=1,COUNTIF(Accounts!$A$5:$A$50,E422)=1),AND(B422="Allocation",F422="Savings &amp; Investment",OR(AND(D422&lt;&gt;"",E422="",COUNTIFS(Accounts!$A$5:$A$50,D422,Accounts!$D$5:$D$50,"Asset")=1),AND(D422="",E422&lt;&gt;"",COUNTIFS(Accounts!$A$5:$A$50,E422,Accounts!$D$5:$D$50,"Asset")=1))),AND(B422="Adjustment",F422="",OR(AND(D422&lt;&gt;"",E422="",COUNTIF(Accounts!$A$5:$A$50,D422)=1),AND(D422="",E422&lt;&gt;"",COUNTIF(Accounts!$A$5:$A$50,E422)=1)))),"OK","CHECK: Type / account / category combination")))</f>
        <v/>
      </c>
    </row>
    <row r="423" spans="1:9">
      <c r="A423" s="56"/>
      <c r="C423" s="57"/>
      <c r="I423" s="13" t="str">
        <f>IF(COUNTA(A423:H423)=0,"",IF(OR(A423="",B423="",C423="",C423&lt;=0),"CHECK: Date, Type and positive Amount required",IF(OR(AND(B423="Income",D423="",E423&lt;&gt;"",F423&lt;&gt;"",COUNTIFS(Accounts!$A$5:$A$50,E423,Accounts!$D$5:$D$50,"Asset")=1,COUNTIFS(Categories!$A$5:$A$100,F423,Categories!$C$5:$C$100,"Income")=1),AND(B423="Expense",D423&lt;&gt;"",E423="",F423&lt;&gt;"",COUNTIF(Accounts!$A$5:$A$50,D423)=1,COUNTIFS(Categories!$A$5:$A$100,F423,Categories!$C$5:$C$100,"Expense")=1),AND(B423="Refund",D423="",E423&lt;&gt;"",F423&lt;&gt;"",COUNTIF(Accounts!$A$5:$A$50,E423)=1,COUNTIFS(Categories!$A$5:$A$100,F423,Categories!$C$5:$C$100,"Expense")=1),AND(B423="Transfer",D423&lt;&gt;"",E423&lt;&gt;"",D423&lt;&gt;E423,F423="",COUNTIF(Accounts!$A$5:$A$50,D423)=1,COUNTIF(Accounts!$A$5:$A$50,E423)=1),AND(B423="Allocation",F423="Savings &amp; Investment",OR(AND(D423&lt;&gt;"",E423="",COUNTIFS(Accounts!$A$5:$A$50,D423,Accounts!$D$5:$D$50,"Asset")=1),AND(D423="",E423&lt;&gt;"",COUNTIFS(Accounts!$A$5:$A$50,E423,Accounts!$D$5:$D$50,"Asset")=1))),AND(B423="Adjustment",F423="",OR(AND(D423&lt;&gt;"",E423="",COUNTIF(Accounts!$A$5:$A$50,D423)=1),AND(D423="",E423&lt;&gt;"",COUNTIF(Accounts!$A$5:$A$50,E423)=1)))),"OK","CHECK: Type / account / category combination")))</f>
        <v/>
      </c>
    </row>
    <row r="424" spans="1:9">
      <c r="A424" s="56"/>
      <c r="C424" s="57"/>
      <c r="I424" s="13" t="str">
        <f>IF(COUNTA(A424:H424)=0,"",IF(OR(A424="",B424="",C424="",C424&lt;=0),"CHECK: Date, Type and positive Amount required",IF(OR(AND(B424="Income",D424="",E424&lt;&gt;"",F424&lt;&gt;"",COUNTIFS(Accounts!$A$5:$A$50,E424,Accounts!$D$5:$D$50,"Asset")=1,COUNTIFS(Categories!$A$5:$A$100,F424,Categories!$C$5:$C$100,"Income")=1),AND(B424="Expense",D424&lt;&gt;"",E424="",F424&lt;&gt;"",COUNTIF(Accounts!$A$5:$A$50,D424)=1,COUNTIFS(Categories!$A$5:$A$100,F424,Categories!$C$5:$C$100,"Expense")=1),AND(B424="Refund",D424="",E424&lt;&gt;"",F424&lt;&gt;"",COUNTIF(Accounts!$A$5:$A$50,E424)=1,COUNTIFS(Categories!$A$5:$A$100,F424,Categories!$C$5:$C$100,"Expense")=1),AND(B424="Transfer",D424&lt;&gt;"",E424&lt;&gt;"",D424&lt;&gt;E424,F424="",COUNTIF(Accounts!$A$5:$A$50,D424)=1,COUNTIF(Accounts!$A$5:$A$50,E424)=1),AND(B424="Allocation",F424="Savings &amp; Investment",OR(AND(D424&lt;&gt;"",E424="",COUNTIFS(Accounts!$A$5:$A$50,D424,Accounts!$D$5:$D$50,"Asset")=1),AND(D424="",E424&lt;&gt;"",COUNTIFS(Accounts!$A$5:$A$50,E424,Accounts!$D$5:$D$50,"Asset")=1))),AND(B424="Adjustment",F424="",OR(AND(D424&lt;&gt;"",E424="",COUNTIF(Accounts!$A$5:$A$50,D424)=1),AND(D424="",E424&lt;&gt;"",COUNTIF(Accounts!$A$5:$A$50,E424)=1)))),"OK","CHECK: Type / account / category combination")))</f>
        <v/>
      </c>
    </row>
    <row r="425" spans="1:9">
      <c r="A425" s="56"/>
      <c r="C425" s="57"/>
      <c r="I425" s="13" t="str">
        <f>IF(COUNTA(A425:H425)=0,"",IF(OR(A425="",B425="",C425="",C425&lt;=0),"CHECK: Date, Type and positive Amount required",IF(OR(AND(B425="Income",D425="",E425&lt;&gt;"",F425&lt;&gt;"",COUNTIFS(Accounts!$A$5:$A$50,E425,Accounts!$D$5:$D$50,"Asset")=1,COUNTIFS(Categories!$A$5:$A$100,F425,Categories!$C$5:$C$100,"Income")=1),AND(B425="Expense",D425&lt;&gt;"",E425="",F425&lt;&gt;"",COUNTIF(Accounts!$A$5:$A$50,D425)=1,COUNTIFS(Categories!$A$5:$A$100,F425,Categories!$C$5:$C$100,"Expense")=1),AND(B425="Refund",D425="",E425&lt;&gt;"",F425&lt;&gt;"",COUNTIF(Accounts!$A$5:$A$50,E425)=1,COUNTIFS(Categories!$A$5:$A$100,F425,Categories!$C$5:$C$100,"Expense")=1),AND(B425="Transfer",D425&lt;&gt;"",E425&lt;&gt;"",D425&lt;&gt;E425,F425="",COUNTIF(Accounts!$A$5:$A$50,D425)=1,COUNTIF(Accounts!$A$5:$A$50,E425)=1),AND(B425="Allocation",F425="Savings &amp; Investment",OR(AND(D425&lt;&gt;"",E425="",COUNTIFS(Accounts!$A$5:$A$50,D425,Accounts!$D$5:$D$50,"Asset")=1),AND(D425="",E425&lt;&gt;"",COUNTIFS(Accounts!$A$5:$A$50,E425,Accounts!$D$5:$D$50,"Asset")=1))),AND(B425="Adjustment",F425="",OR(AND(D425&lt;&gt;"",E425="",COUNTIF(Accounts!$A$5:$A$50,D425)=1),AND(D425="",E425&lt;&gt;"",COUNTIF(Accounts!$A$5:$A$50,E425)=1)))),"OK","CHECK: Type / account / category combination")))</f>
        <v/>
      </c>
    </row>
    <row r="426" spans="1:9">
      <c r="A426" s="56"/>
      <c r="C426" s="57"/>
      <c r="I426" s="13" t="str">
        <f>IF(COUNTA(A426:H426)=0,"",IF(OR(A426="",B426="",C426="",C426&lt;=0),"CHECK: Date, Type and positive Amount required",IF(OR(AND(B426="Income",D426="",E426&lt;&gt;"",F426&lt;&gt;"",COUNTIFS(Accounts!$A$5:$A$50,E426,Accounts!$D$5:$D$50,"Asset")=1,COUNTIFS(Categories!$A$5:$A$100,F426,Categories!$C$5:$C$100,"Income")=1),AND(B426="Expense",D426&lt;&gt;"",E426="",F426&lt;&gt;"",COUNTIF(Accounts!$A$5:$A$50,D426)=1,COUNTIFS(Categories!$A$5:$A$100,F426,Categories!$C$5:$C$100,"Expense")=1),AND(B426="Refund",D426="",E426&lt;&gt;"",F426&lt;&gt;"",COUNTIF(Accounts!$A$5:$A$50,E426)=1,COUNTIFS(Categories!$A$5:$A$100,F426,Categories!$C$5:$C$100,"Expense")=1),AND(B426="Transfer",D426&lt;&gt;"",E426&lt;&gt;"",D426&lt;&gt;E426,F426="",COUNTIF(Accounts!$A$5:$A$50,D426)=1,COUNTIF(Accounts!$A$5:$A$50,E426)=1),AND(B426="Allocation",F426="Savings &amp; Investment",OR(AND(D426&lt;&gt;"",E426="",COUNTIFS(Accounts!$A$5:$A$50,D426,Accounts!$D$5:$D$50,"Asset")=1),AND(D426="",E426&lt;&gt;"",COUNTIFS(Accounts!$A$5:$A$50,E426,Accounts!$D$5:$D$50,"Asset")=1))),AND(B426="Adjustment",F426="",OR(AND(D426&lt;&gt;"",E426="",COUNTIF(Accounts!$A$5:$A$50,D426)=1),AND(D426="",E426&lt;&gt;"",COUNTIF(Accounts!$A$5:$A$50,E426)=1)))),"OK","CHECK: Type / account / category combination")))</f>
        <v/>
      </c>
    </row>
    <row r="427" spans="1:9">
      <c r="A427" s="56"/>
      <c r="C427" s="57"/>
      <c r="I427" s="13" t="str">
        <f>IF(COUNTA(A427:H427)=0,"",IF(OR(A427="",B427="",C427="",C427&lt;=0),"CHECK: Date, Type and positive Amount required",IF(OR(AND(B427="Income",D427="",E427&lt;&gt;"",F427&lt;&gt;"",COUNTIFS(Accounts!$A$5:$A$50,E427,Accounts!$D$5:$D$50,"Asset")=1,COUNTIFS(Categories!$A$5:$A$100,F427,Categories!$C$5:$C$100,"Income")=1),AND(B427="Expense",D427&lt;&gt;"",E427="",F427&lt;&gt;"",COUNTIF(Accounts!$A$5:$A$50,D427)=1,COUNTIFS(Categories!$A$5:$A$100,F427,Categories!$C$5:$C$100,"Expense")=1),AND(B427="Refund",D427="",E427&lt;&gt;"",F427&lt;&gt;"",COUNTIF(Accounts!$A$5:$A$50,E427)=1,COUNTIFS(Categories!$A$5:$A$100,F427,Categories!$C$5:$C$100,"Expense")=1),AND(B427="Transfer",D427&lt;&gt;"",E427&lt;&gt;"",D427&lt;&gt;E427,F427="",COUNTIF(Accounts!$A$5:$A$50,D427)=1,COUNTIF(Accounts!$A$5:$A$50,E427)=1),AND(B427="Allocation",F427="Savings &amp; Investment",OR(AND(D427&lt;&gt;"",E427="",COUNTIFS(Accounts!$A$5:$A$50,D427,Accounts!$D$5:$D$50,"Asset")=1),AND(D427="",E427&lt;&gt;"",COUNTIFS(Accounts!$A$5:$A$50,E427,Accounts!$D$5:$D$50,"Asset")=1))),AND(B427="Adjustment",F427="",OR(AND(D427&lt;&gt;"",E427="",COUNTIF(Accounts!$A$5:$A$50,D427)=1),AND(D427="",E427&lt;&gt;"",COUNTIF(Accounts!$A$5:$A$50,E427)=1)))),"OK","CHECK: Type / account / category combination")))</f>
        <v/>
      </c>
    </row>
    <row r="428" spans="1:9">
      <c r="A428" s="56"/>
      <c r="C428" s="57"/>
      <c r="I428" s="13" t="str">
        <f>IF(COUNTA(A428:H428)=0,"",IF(OR(A428="",B428="",C428="",C428&lt;=0),"CHECK: Date, Type and positive Amount required",IF(OR(AND(B428="Income",D428="",E428&lt;&gt;"",F428&lt;&gt;"",COUNTIFS(Accounts!$A$5:$A$50,E428,Accounts!$D$5:$D$50,"Asset")=1,COUNTIFS(Categories!$A$5:$A$100,F428,Categories!$C$5:$C$100,"Income")=1),AND(B428="Expense",D428&lt;&gt;"",E428="",F428&lt;&gt;"",COUNTIF(Accounts!$A$5:$A$50,D428)=1,COUNTIFS(Categories!$A$5:$A$100,F428,Categories!$C$5:$C$100,"Expense")=1),AND(B428="Refund",D428="",E428&lt;&gt;"",F428&lt;&gt;"",COUNTIF(Accounts!$A$5:$A$50,E428)=1,COUNTIFS(Categories!$A$5:$A$100,F428,Categories!$C$5:$C$100,"Expense")=1),AND(B428="Transfer",D428&lt;&gt;"",E428&lt;&gt;"",D428&lt;&gt;E428,F428="",COUNTIF(Accounts!$A$5:$A$50,D428)=1,COUNTIF(Accounts!$A$5:$A$50,E428)=1),AND(B428="Allocation",F428="Savings &amp; Investment",OR(AND(D428&lt;&gt;"",E428="",COUNTIFS(Accounts!$A$5:$A$50,D428,Accounts!$D$5:$D$50,"Asset")=1),AND(D428="",E428&lt;&gt;"",COUNTIFS(Accounts!$A$5:$A$50,E428,Accounts!$D$5:$D$50,"Asset")=1))),AND(B428="Adjustment",F428="",OR(AND(D428&lt;&gt;"",E428="",COUNTIF(Accounts!$A$5:$A$50,D428)=1),AND(D428="",E428&lt;&gt;"",COUNTIF(Accounts!$A$5:$A$50,E428)=1)))),"OK","CHECK: Type / account / category combination")))</f>
        <v/>
      </c>
    </row>
    <row r="429" spans="1:9">
      <c r="A429" s="56"/>
      <c r="C429" s="57"/>
      <c r="I429" s="13" t="str">
        <f>IF(COUNTA(A429:H429)=0,"",IF(OR(A429="",B429="",C429="",C429&lt;=0),"CHECK: Date, Type and positive Amount required",IF(OR(AND(B429="Income",D429="",E429&lt;&gt;"",F429&lt;&gt;"",COUNTIFS(Accounts!$A$5:$A$50,E429,Accounts!$D$5:$D$50,"Asset")=1,COUNTIFS(Categories!$A$5:$A$100,F429,Categories!$C$5:$C$100,"Income")=1),AND(B429="Expense",D429&lt;&gt;"",E429="",F429&lt;&gt;"",COUNTIF(Accounts!$A$5:$A$50,D429)=1,COUNTIFS(Categories!$A$5:$A$100,F429,Categories!$C$5:$C$100,"Expense")=1),AND(B429="Refund",D429="",E429&lt;&gt;"",F429&lt;&gt;"",COUNTIF(Accounts!$A$5:$A$50,E429)=1,COUNTIFS(Categories!$A$5:$A$100,F429,Categories!$C$5:$C$100,"Expense")=1),AND(B429="Transfer",D429&lt;&gt;"",E429&lt;&gt;"",D429&lt;&gt;E429,F429="",COUNTIF(Accounts!$A$5:$A$50,D429)=1,COUNTIF(Accounts!$A$5:$A$50,E429)=1),AND(B429="Allocation",F429="Savings &amp; Investment",OR(AND(D429&lt;&gt;"",E429="",COUNTIFS(Accounts!$A$5:$A$50,D429,Accounts!$D$5:$D$50,"Asset")=1),AND(D429="",E429&lt;&gt;"",COUNTIFS(Accounts!$A$5:$A$50,E429,Accounts!$D$5:$D$50,"Asset")=1))),AND(B429="Adjustment",F429="",OR(AND(D429&lt;&gt;"",E429="",COUNTIF(Accounts!$A$5:$A$50,D429)=1),AND(D429="",E429&lt;&gt;"",COUNTIF(Accounts!$A$5:$A$50,E429)=1)))),"OK","CHECK: Type / account / category combination")))</f>
        <v/>
      </c>
    </row>
    <row r="430" spans="1:9">
      <c r="A430" s="56"/>
      <c r="C430" s="57"/>
      <c r="I430" s="13" t="str">
        <f>IF(COUNTA(A430:H430)=0,"",IF(OR(A430="",B430="",C430="",C430&lt;=0),"CHECK: Date, Type and positive Amount required",IF(OR(AND(B430="Income",D430="",E430&lt;&gt;"",F430&lt;&gt;"",COUNTIFS(Accounts!$A$5:$A$50,E430,Accounts!$D$5:$D$50,"Asset")=1,COUNTIFS(Categories!$A$5:$A$100,F430,Categories!$C$5:$C$100,"Income")=1),AND(B430="Expense",D430&lt;&gt;"",E430="",F430&lt;&gt;"",COUNTIF(Accounts!$A$5:$A$50,D430)=1,COUNTIFS(Categories!$A$5:$A$100,F430,Categories!$C$5:$C$100,"Expense")=1),AND(B430="Refund",D430="",E430&lt;&gt;"",F430&lt;&gt;"",COUNTIF(Accounts!$A$5:$A$50,E430)=1,COUNTIFS(Categories!$A$5:$A$100,F430,Categories!$C$5:$C$100,"Expense")=1),AND(B430="Transfer",D430&lt;&gt;"",E430&lt;&gt;"",D430&lt;&gt;E430,F430="",COUNTIF(Accounts!$A$5:$A$50,D430)=1,COUNTIF(Accounts!$A$5:$A$50,E430)=1),AND(B430="Allocation",F430="Savings &amp; Investment",OR(AND(D430&lt;&gt;"",E430="",COUNTIFS(Accounts!$A$5:$A$50,D430,Accounts!$D$5:$D$50,"Asset")=1),AND(D430="",E430&lt;&gt;"",COUNTIFS(Accounts!$A$5:$A$50,E430,Accounts!$D$5:$D$50,"Asset")=1))),AND(B430="Adjustment",F430="",OR(AND(D430&lt;&gt;"",E430="",COUNTIF(Accounts!$A$5:$A$50,D430)=1),AND(D430="",E430&lt;&gt;"",COUNTIF(Accounts!$A$5:$A$50,E430)=1)))),"OK","CHECK: Type / account / category combination")))</f>
        <v/>
      </c>
    </row>
    <row r="431" spans="1:9">
      <c r="A431" s="56"/>
      <c r="C431" s="57"/>
      <c r="I431" s="13" t="str">
        <f>IF(COUNTA(A431:H431)=0,"",IF(OR(A431="",B431="",C431="",C431&lt;=0),"CHECK: Date, Type and positive Amount required",IF(OR(AND(B431="Income",D431="",E431&lt;&gt;"",F431&lt;&gt;"",COUNTIFS(Accounts!$A$5:$A$50,E431,Accounts!$D$5:$D$50,"Asset")=1,COUNTIFS(Categories!$A$5:$A$100,F431,Categories!$C$5:$C$100,"Income")=1),AND(B431="Expense",D431&lt;&gt;"",E431="",F431&lt;&gt;"",COUNTIF(Accounts!$A$5:$A$50,D431)=1,COUNTIFS(Categories!$A$5:$A$100,F431,Categories!$C$5:$C$100,"Expense")=1),AND(B431="Refund",D431="",E431&lt;&gt;"",F431&lt;&gt;"",COUNTIF(Accounts!$A$5:$A$50,E431)=1,COUNTIFS(Categories!$A$5:$A$100,F431,Categories!$C$5:$C$100,"Expense")=1),AND(B431="Transfer",D431&lt;&gt;"",E431&lt;&gt;"",D431&lt;&gt;E431,F431="",COUNTIF(Accounts!$A$5:$A$50,D431)=1,COUNTIF(Accounts!$A$5:$A$50,E431)=1),AND(B431="Allocation",F431="Savings &amp; Investment",OR(AND(D431&lt;&gt;"",E431="",COUNTIFS(Accounts!$A$5:$A$50,D431,Accounts!$D$5:$D$50,"Asset")=1),AND(D431="",E431&lt;&gt;"",COUNTIFS(Accounts!$A$5:$A$50,E431,Accounts!$D$5:$D$50,"Asset")=1))),AND(B431="Adjustment",F431="",OR(AND(D431&lt;&gt;"",E431="",COUNTIF(Accounts!$A$5:$A$50,D431)=1),AND(D431="",E431&lt;&gt;"",COUNTIF(Accounts!$A$5:$A$50,E431)=1)))),"OK","CHECK: Type / account / category combination")))</f>
        <v/>
      </c>
    </row>
    <row r="432" spans="1:9">
      <c r="A432" s="56"/>
      <c r="C432" s="57"/>
      <c r="I432" s="13" t="str">
        <f>IF(COUNTA(A432:H432)=0,"",IF(OR(A432="",B432="",C432="",C432&lt;=0),"CHECK: Date, Type and positive Amount required",IF(OR(AND(B432="Income",D432="",E432&lt;&gt;"",F432&lt;&gt;"",COUNTIFS(Accounts!$A$5:$A$50,E432,Accounts!$D$5:$D$50,"Asset")=1,COUNTIFS(Categories!$A$5:$A$100,F432,Categories!$C$5:$C$100,"Income")=1),AND(B432="Expense",D432&lt;&gt;"",E432="",F432&lt;&gt;"",COUNTIF(Accounts!$A$5:$A$50,D432)=1,COUNTIFS(Categories!$A$5:$A$100,F432,Categories!$C$5:$C$100,"Expense")=1),AND(B432="Refund",D432="",E432&lt;&gt;"",F432&lt;&gt;"",COUNTIF(Accounts!$A$5:$A$50,E432)=1,COUNTIFS(Categories!$A$5:$A$100,F432,Categories!$C$5:$C$100,"Expense")=1),AND(B432="Transfer",D432&lt;&gt;"",E432&lt;&gt;"",D432&lt;&gt;E432,F432="",COUNTIF(Accounts!$A$5:$A$50,D432)=1,COUNTIF(Accounts!$A$5:$A$50,E432)=1),AND(B432="Allocation",F432="Savings &amp; Investment",OR(AND(D432&lt;&gt;"",E432="",COUNTIFS(Accounts!$A$5:$A$50,D432,Accounts!$D$5:$D$50,"Asset")=1),AND(D432="",E432&lt;&gt;"",COUNTIFS(Accounts!$A$5:$A$50,E432,Accounts!$D$5:$D$50,"Asset")=1))),AND(B432="Adjustment",F432="",OR(AND(D432&lt;&gt;"",E432="",COUNTIF(Accounts!$A$5:$A$50,D432)=1),AND(D432="",E432&lt;&gt;"",COUNTIF(Accounts!$A$5:$A$50,E432)=1)))),"OK","CHECK: Type / account / category combination")))</f>
        <v/>
      </c>
    </row>
    <row r="433" spans="1:9">
      <c r="A433" s="56"/>
      <c r="C433" s="57"/>
      <c r="I433" s="13" t="str">
        <f>IF(COUNTA(A433:H433)=0,"",IF(OR(A433="",B433="",C433="",C433&lt;=0),"CHECK: Date, Type and positive Amount required",IF(OR(AND(B433="Income",D433="",E433&lt;&gt;"",F433&lt;&gt;"",COUNTIFS(Accounts!$A$5:$A$50,E433,Accounts!$D$5:$D$50,"Asset")=1,COUNTIFS(Categories!$A$5:$A$100,F433,Categories!$C$5:$C$100,"Income")=1),AND(B433="Expense",D433&lt;&gt;"",E433="",F433&lt;&gt;"",COUNTIF(Accounts!$A$5:$A$50,D433)=1,COUNTIFS(Categories!$A$5:$A$100,F433,Categories!$C$5:$C$100,"Expense")=1),AND(B433="Refund",D433="",E433&lt;&gt;"",F433&lt;&gt;"",COUNTIF(Accounts!$A$5:$A$50,E433)=1,COUNTIFS(Categories!$A$5:$A$100,F433,Categories!$C$5:$C$100,"Expense")=1),AND(B433="Transfer",D433&lt;&gt;"",E433&lt;&gt;"",D433&lt;&gt;E433,F433="",COUNTIF(Accounts!$A$5:$A$50,D433)=1,COUNTIF(Accounts!$A$5:$A$50,E433)=1),AND(B433="Allocation",F433="Savings &amp; Investment",OR(AND(D433&lt;&gt;"",E433="",COUNTIFS(Accounts!$A$5:$A$50,D433,Accounts!$D$5:$D$50,"Asset")=1),AND(D433="",E433&lt;&gt;"",COUNTIFS(Accounts!$A$5:$A$50,E433,Accounts!$D$5:$D$50,"Asset")=1))),AND(B433="Adjustment",F433="",OR(AND(D433&lt;&gt;"",E433="",COUNTIF(Accounts!$A$5:$A$50,D433)=1),AND(D433="",E433&lt;&gt;"",COUNTIF(Accounts!$A$5:$A$50,E433)=1)))),"OK","CHECK: Type / account / category combination")))</f>
        <v/>
      </c>
    </row>
    <row r="434" spans="1:9">
      <c r="A434" s="56"/>
      <c r="C434" s="57"/>
      <c r="I434" s="13" t="str">
        <f>IF(COUNTA(A434:H434)=0,"",IF(OR(A434="",B434="",C434="",C434&lt;=0),"CHECK: Date, Type and positive Amount required",IF(OR(AND(B434="Income",D434="",E434&lt;&gt;"",F434&lt;&gt;"",COUNTIFS(Accounts!$A$5:$A$50,E434,Accounts!$D$5:$D$50,"Asset")=1,COUNTIFS(Categories!$A$5:$A$100,F434,Categories!$C$5:$C$100,"Income")=1),AND(B434="Expense",D434&lt;&gt;"",E434="",F434&lt;&gt;"",COUNTIF(Accounts!$A$5:$A$50,D434)=1,COUNTIFS(Categories!$A$5:$A$100,F434,Categories!$C$5:$C$100,"Expense")=1),AND(B434="Refund",D434="",E434&lt;&gt;"",F434&lt;&gt;"",COUNTIF(Accounts!$A$5:$A$50,E434)=1,COUNTIFS(Categories!$A$5:$A$100,F434,Categories!$C$5:$C$100,"Expense")=1),AND(B434="Transfer",D434&lt;&gt;"",E434&lt;&gt;"",D434&lt;&gt;E434,F434="",COUNTIF(Accounts!$A$5:$A$50,D434)=1,COUNTIF(Accounts!$A$5:$A$50,E434)=1),AND(B434="Allocation",F434="Savings &amp; Investment",OR(AND(D434&lt;&gt;"",E434="",COUNTIFS(Accounts!$A$5:$A$50,D434,Accounts!$D$5:$D$50,"Asset")=1),AND(D434="",E434&lt;&gt;"",COUNTIFS(Accounts!$A$5:$A$50,E434,Accounts!$D$5:$D$50,"Asset")=1))),AND(B434="Adjustment",F434="",OR(AND(D434&lt;&gt;"",E434="",COUNTIF(Accounts!$A$5:$A$50,D434)=1),AND(D434="",E434&lt;&gt;"",COUNTIF(Accounts!$A$5:$A$50,E434)=1)))),"OK","CHECK: Type / account / category combination")))</f>
        <v/>
      </c>
    </row>
    <row r="435" spans="1:9">
      <c r="A435" s="56"/>
      <c r="C435" s="57"/>
      <c r="I435" s="13" t="str">
        <f>IF(COUNTA(A435:H435)=0,"",IF(OR(A435="",B435="",C435="",C435&lt;=0),"CHECK: Date, Type and positive Amount required",IF(OR(AND(B435="Income",D435="",E435&lt;&gt;"",F435&lt;&gt;"",COUNTIFS(Accounts!$A$5:$A$50,E435,Accounts!$D$5:$D$50,"Asset")=1,COUNTIFS(Categories!$A$5:$A$100,F435,Categories!$C$5:$C$100,"Income")=1),AND(B435="Expense",D435&lt;&gt;"",E435="",F435&lt;&gt;"",COUNTIF(Accounts!$A$5:$A$50,D435)=1,COUNTIFS(Categories!$A$5:$A$100,F435,Categories!$C$5:$C$100,"Expense")=1),AND(B435="Refund",D435="",E435&lt;&gt;"",F435&lt;&gt;"",COUNTIF(Accounts!$A$5:$A$50,E435)=1,COUNTIFS(Categories!$A$5:$A$100,F435,Categories!$C$5:$C$100,"Expense")=1),AND(B435="Transfer",D435&lt;&gt;"",E435&lt;&gt;"",D435&lt;&gt;E435,F435="",COUNTIF(Accounts!$A$5:$A$50,D435)=1,COUNTIF(Accounts!$A$5:$A$50,E435)=1),AND(B435="Allocation",F435="Savings &amp; Investment",OR(AND(D435&lt;&gt;"",E435="",COUNTIFS(Accounts!$A$5:$A$50,D435,Accounts!$D$5:$D$50,"Asset")=1),AND(D435="",E435&lt;&gt;"",COUNTIFS(Accounts!$A$5:$A$50,E435,Accounts!$D$5:$D$50,"Asset")=1))),AND(B435="Adjustment",F435="",OR(AND(D435&lt;&gt;"",E435="",COUNTIF(Accounts!$A$5:$A$50,D435)=1),AND(D435="",E435&lt;&gt;"",COUNTIF(Accounts!$A$5:$A$50,E435)=1)))),"OK","CHECK: Type / account / category combination")))</f>
        <v/>
      </c>
    </row>
    <row r="436" spans="1:9">
      <c r="A436" s="56"/>
      <c r="C436" s="57"/>
      <c r="I436" s="13" t="str">
        <f>IF(COUNTA(A436:H436)=0,"",IF(OR(A436="",B436="",C436="",C436&lt;=0),"CHECK: Date, Type and positive Amount required",IF(OR(AND(B436="Income",D436="",E436&lt;&gt;"",F436&lt;&gt;"",COUNTIFS(Accounts!$A$5:$A$50,E436,Accounts!$D$5:$D$50,"Asset")=1,COUNTIFS(Categories!$A$5:$A$100,F436,Categories!$C$5:$C$100,"Income")=1),AND(B436="Expense",D436&lt;&gt;"",E436="",F436&lt;&gt;"",COUNTIF(Accounts!$A$5:$A$50,D436)=1,COUNTIFS(Categories!$A$5:$A$100,F436,Categories!$C$5:$C$100,"Expense")=1),AND(B436="Refund",D436="",E436&lt;&gt;"",F436&lt;&gt;"",COUNTIF(Accounts!$A$5:$A$50,E436)=1,COUNTIFS(Categories!$A$5:$A$100,F436,Categories!$C$5:$C$100,"Expense")=1),AND(B436="Transfer",D436&lt;&gt;"",E436&lt;&gt;"",D436&lt;&gt;E436,F436="",COUNTIF(Accounts!$A$5:$A$50,D436)=1,COUNTIF(Accounts!$A$5:$A$50,E436)=1),AND(B436="Allocation",F436="Savings &amp; Investment",OR(AND(D436&lt;&gt;"",E436="",COUNTIFS(Accounts!$A$5:$A$50,D436,Accounts!$D$5:$D$50,"Asset")=1),AND(D436="",E436&lt;&gt;"",COUNTIFS(Accounts!$A$5:$A$50,E436,Accounts!$D$5:$D$50,"Asset")=1))),AND(B436="Adjustment",F436="",OR(AND(D436&lt;&gt;"",E436="",COUNTIF(Accounts!$A$5:$A$50,D436)=1),AND(D436="",E436&lt;&gt;"",COUNTIF(Accounts!$A$5:$A$50,E436)=1)))),"OK","CHECK: Type / account / category combination")))</f>
        <v/>
      </c>
    </row>
    <row r="437" spans="1:9">
      <c r="A437" s="56"/>
      <c r="C437" s="57"/>
      <c r="I437" s="13" t="str">
        <f>IF(COUNTA(A437:H437)=0,"",IF(OR(A437="",B437="",C437="",C437&lt;=0),"CHECK: Date, Type and positive Amount required",IF(OR(AND(B437="Income",D437="",E437&lt;&gt;"",F437&lt;&gt;"",COUNTIFS(Accounts!$A$5:$A$50,E437,Accounts!$D$5:$D$50,"Asset")=1,COUNTIFS(Categories!$A$5:$A$100,F437,Categories!$C$5:$C$100,"Income")=1),AND(B437="Expense",D437&lt;&gt;"",E437="",F437&lt;&gt;"",COUNTIF(Accounts!$A$5:$A$50,D437)=1,COUNTIFS(Categories!$A$5:$A$100,F437,Categories!$C$5:$C$100,"Expense")=1),AND(B437="Refund",D437="",E437&lt;&gt;"",F437&lt;&gt;"",COUNTIF(Accounts!$A$5:$A$50,E437)=1,COUNTIFS(Categories!$A$5:$A$100,F437,Categories!$C$5:$C$100,"Expense")=1),AND(B437="Transfer",D437&lt;&gt;"",E437&lt;&gt;"",D437&lt;&gt;E437,F437="",COUNTIF(Accounts!$A$5:$A$50,D437)=1,COUNTIF(Accounts!$A$5:$A$50,E437)=1),AND(B437="Allocation",F437="Savings &amp; Investment",OR(AND(D437&lt;&gt;"",E437="",COUNTIFS(Accounts!$A$5:$A$50,D437,Accounts!$D$5:$D$50,"Asset")=1),AND(D437="",E437&lt;&gt;"",COUNTIFS(Accounts!$A$5:$A$50,E437,Accounts!$D$5:$D$50,"Asset")=1))),AND(B437="Adjustment",F437="",OR(AND(D437&lt;&gt;"",E437="",COUNTIF(Accounts!$A$5:$A$50,D437)=1),AND(D437="",E437&lt;&gt;"",COUNTIF(Accounts!$A$5:$A$50,E437)=1)))),"OK","CHECK: Type / account / category combination")))</f>
        <v/>
      </c>
    </row>
    <row r="438" spans="1:9">
      <c r="A438" s="56"/>
      <c r="C438" s="57"/>
      <c r="I438" s="13" t="str">
        <f>IF(COUNTA(A438:H438)=0,"",IF(OR(A438="",B438="",C438="",C438&lt;=0),"CHECK: Date, Type and positive Amount required",IF(OR(AND(B438="Income",D438="",E438&lt;&gt;"",F438&lt;&gt;"",COUNTIFS(Accounts!$A$5:$A$50,E438,Accounts!$D$5:$D$50,"Asset")=1,COUNTIFS(Categories!$A$5:$A$100,F438,Categories!$C$5:$C$100,"Income")=1),AND(B438="Expense",D438&lt;&gt;"",E438="",F438&lt;&gt;"",COUNTIF(Accounts!$A$5:$A$50,D438)=1,COUNTIFS(Categories!$A$5:$A$100,F438,Categories!$C$5:$C$100,"Expense")=1),AND(B438="Refund",D438="",E438&lt;&gt;"",F438&lt;&gt;"",COUNTIF(Accounts!$A$5:$A$50,E438)=1,COUNTIFS(Categories!$A$5:$A$100,F438,Categories!$C$5:$C$100,"Expense")=1),AND(B438="Transfer",D438&lt;&gt;"",E438&lt;&gt;"",D438&lt;&gt;E438,F438="",COUNTIF(Accounts!$A$5:$A$50,D438)=1,COUNTIF(Accounts!$A$5:$A$50,E438)=1),AND(B438="Allocation",F438="Savings &amp; Investment",OR(AND(D438&lt;&gt;"",E438="",COUNTIFS(Accounts!$A$5:$A$50,D438,Accounts!$D$5:$D$50,"Asset")=1),AND(D438="",E438&lt;&gt;"",COUNTIFS(Accounts!$A$5:$A$50,E438,Accounts!$D$5:$D$50,"Asset")=1))),AND(B438="Adjustment",F438="",OR(AND(D438&lt;&gt;"",E438="",COUNTIF(Accounts!$A$5:$A$50,D438)=1),AND(D438="",E438&lt;&gt;"",COUNTIF(Accounts!$A$5:$A$50,E438)=1)))),"OK","CHECK: Type / account / category combination")))</f>
        <v/>
      </c>
    </row>
    <row r="439" spans="1:9">
      <c r="A439" s="56"/>
      <c r="C439" s="57"/>
      <c r="I439" s="13" t="str">
        <f>IF(COUNTA(A439:H439)=0,"",IF(OR(A439="",B439="",C439="",C439&lt;=0),"CHECK: Date, Type and positive Amount required",IF(OR(AND(B439="Income",D439="",E439&lt;&gt;"",F439&lt;&gt;"",COUNTIFS(Accounts!$A$5:$A$50,E439,Accounts!$D$5:$D$50,"Asset")=1,COUNTIFS(Categories!$A$5:$A$100,F439,Categories!$C$5:$C$100,"Income")=1),AND(B439="Expense",D439&lt;&gt;"",E439="",F439&lt;&gt;"",COUNTIF(Accounts!$A$5:$A$50,D439)=1,COUNTIFS(Categories!$A$5:$A$100,F439,Categories!$C$5:$C$100,"Expense")=1),AND(B439="Refund",D439="",E439&lt;&gt;"",F439&lt;&gt;"",COUNTIF(Accounts!$A$5:$A$50,E439)=1,COUNTIFS(Categories!$A$5:$A$100,F439,Categories!$C$5:$C$100,"Expense")=1),AND(B439="Transfer",D439&lt;&gt;"",E439&lt;&gt;"",D439&lt;&gt;E439,F439="",COUNTIF(Accounts!$A$5:$A$50,D439)=1,COUNTIF(Accounts!$A$5:$A$50,E439)=1),AND(B439="Allocation",F439="Savings &amp; Investment",OR(AND(D439&lt;&gt;"",E439="",COUNTIFS(Accounts!$A$5:$A$50,D439,Accounts!$D$5:$D$50,"Asset")=1),AND(D439="",E439&lt;&gt;"",COUNTIFS(Accounts!$A$5:$A$50,E439,Accounts!$D$5:$D$50,"Asset")=1))),AND(B439="Adjustment",F439="",OR(AND(D439&lt;&gt;"",E439="",COUNTIF(Accounts!$A$5:$A$50,D439)=1),AND(D439="",E439&lt;&gt;"",COUNTIF(Accounts!$A$5:$A$50,E439)=1)))),"OK","CHECK: Type / account / category combination")))</f>
        <v/>
      </c>
    </row>
    <row r="440" spans="1:9">
      <c r="A440" s="56"/>
      <c r="C440" s="57"/>
      <c r="I440" s="13" t="str">
        <f>IF(COUNTA(A440:H440)=0,"",IF(OR(A440="",B440="",C440="",C440&lt;=0),"CHECK: Date, Type and positive Amount required",IF(OR(AND(B440="Income",D440="",E440&lt;&gt;"",F440&lt;&gt;"",COUNTIFS(Accounts!$A$5:$A$50,E440,Accounts!$D$5:$D$50,"Asset")=1,COUNTIFS(Categories!$A$5:$A$100,F440,Categories!$C$5:$C$100,"Income")=1),AND(B440="Expense",D440&lt;&gt;"",E440="",F440&lt;&gt;"",COUNTIF(Accounts!$A$5:$A$50,D440)=1,COUNTIFS(Categories!$A$5:$A$100,F440,Categories!$C$5:$C$100,"Expense")=1),AND(B440="Refund",D440="",E440&lt;&gt;"",F440&lt;&gt;"",COUNTIF(Accounts!$A$5:$A$50,E440)=1,COUNTIFS(Categories!$A$5:$A$100,F440,Categories!$C$5:$C$100,"Expense")=1),AND(B440="Transfer",D440&lt;&gt;"",E440&lt;&gt;"",D440&lt;&gt;E440,F440="",COUNTIF(Accounts!$A$5:$A$50,D440)=1,COUNTIF(Accounts!$A$5:$A$50,E440)=1),AND(B440="Allocation",F440="Savings &amp; Investment",OR(AND(D440&lt;&gt;"",E440="",COUNTIFS(Accounts!$A$5:$A$50,D440,Accounts!$D$5:$D$50,"Asset")=1),AND(D440="",E440&lt;&gt;"",COUNTIFS(Accounts!$A$5:$A$50,E440,Accounts!$D$5:$D$50,"Asset")=1))),AND(B440="Adjustment",F440="",OR(AND(D440&lt;&gt;"",E440="",COUNTIF(Accounts!$A$5:$A$50,D440)=1),AND(D440="",E440&lt;&gt;"",COUNTIF(Accounts!$A$5:$A$50,E440)=1)))),"OK","CHECK: Type / account / category combination")))</f>
        <v/>
      </c>
    </row>
    <row r="441" spans="1:9">
      <c r="A441" s="56"/>
      <c r="C441" s="57"/>
      <c r="I441" s="13" t="str">
        <f>IF(COUNTA(A441:H441)=0,"",IF(OR(A441="",B441="",C441="",C441&lt;=0),"CHECK: Date, Type and positive Amount required",IF(OR(AND(B441="Income",D441="",E441&lt;&gt;"",F441&lt;&gt;"",COUNTIFS(Accounts!$A$5:$A$50,E441,Accounts!$D$5:$D$50,"Asset")=1,COUNTIFS(Categories!$A$5:$A$100,F441,Categories!$C$5:$C$100,"Income")=1),AND(B441="Expense",D441&lt;&gt;"",E441="",F441&lt;&gt;"",COUNTIF(Accounts!$A$5:$A$50,D441)=1,COUNTIFS(Categories!$A$5:$A$100,F441,Categories!$C$5:$C$100,"Expense")=1),AND(B441="Refund",D441="",E441&lt;&gt;"",F441&lt;&gt;"",COUNTIF(Accounts!$A$5:$A$50,E441)=1,COUNTIFS(Categories!$A$5:$A$100,F441,Categories!$C$5:$C$100,"Expense")=1),AND(B441="Transfer",D441&lt;&gt;"",E441&lt;&gt;"",D441&lt;&gt;E441,F441="",COUNTIF(Accounts!$A$5:$A$50,D441)=1,COUNTIF(Accounts!$A$5:$A$50,E441)=1),AND(B441="Allocation",F441="Savings &amp; Investment",OR(AND(D441&lt;&gt;"",E441="",COUNTIFS(Accounts!$A$5:$A$50,D441,Accounts!$D$5:$D$50,"Asset")=1),AND(D441="",E441&lt;&gt;"",COUNTIFS(Accounts!$A$5:$A$50,E441,Accounts!$D$5:$D$50,"Asset")=1))),AND(B441="Adjustment",F441="",OR(AND(D441&lt;&gt;"",E441="",COUNTIF(Accounts!$A$5:$A$50,D441)=1),AND(D441="",E441&lt;&gt;"",COUNTIF(Accounts!$A$5:$A$50,E441)=1)))),"OK","CHECK: Type / account / category combination")))</f>
        <v/>
      </c>
    </row>
    <row r="442" spans="1:9">
      <c r="A442" s="56"/>
      <c r="C442" s="57"/>
      <c r="I442" s="13" t="str">
        <f>IF(COUNTA(A442:H442)=0,"",IF(OR(A442="",B442="",C442="",C442&lt;=0),"CHECK: Date, Type and positive Amount required",IF(OR(AND(B442="Income",D442="",E442&lt;&gt;"",F442&lt;&gt;"",COUNTIFS(Accounts!$A$5:$A$50,E442,Accounts!$D$5:$D$50,"Asset")=1,COUNTIFS(Categories!$A$5:$A$100,F442,Categories!$C$5:$C$100,"Income")=1),AND(B442="Expense",D442&lt;&gt;"",E442="",F442&lt;&gt;"",COUNTIF(Accounts!$A$5:$A$50,D442)=1,COUNTIFS(Categories!$A$5:$A$100,F442,Categories!$C$5:$C$100,"Expense")=1),AND(B442="Refund",D442="",E442&lt;&gt;"",F442&lt;&gt;"",COUNTIF(Accounts!$A$5:$A$50,E442)=1,COUNTIFS(Categories!$A$5:$A$100,F442,Categories!$C$5:$C$100,"Expense")=1),AND(B442="Transfer",D442&lt;&gt;"",E442&lt;&gt;"",D442&lt;&gt;E442,F442="",COUNTIF(Accounts!$A$5:$A$50,D442)=1,COUNTIF(Accounts!$A$5:$A$50,E442)=1),AND(B442="Allocation",F442="Savings &amp; Investment",OR(AND(D442&lt;&gt;"",E442="",COUNTIFS(Accounts!$A$5:$A$50,D442,Accounts!$D$5:$D$50,"Asset")=1),AND(D442="",E442&lt;&gt;"",COUNTIFS(Accounts!$A$5:$A$50,E442,Accounts!$D$5:$D$50,"Asset")=1))),AND(B442="Adjustment",F442="",OR(AND(D442&lt;&gt;"",E442="",COUNTIF(Accounts!$A$5:$A$50,D442)=1),AND(D442="",E442&lt;&gt;"",COUNTIF(Accounts!$A$5:$A$50,E442)=1)))),"OK","CHECK: Type / account / category combination")))</f>
        <v/>
      </c>
    </row>
    <row r="443" spans="1:9">
      <c r="A443" s="56"/>
      <c r="C443" s="57"/>
      <c r="I443" s="13" t="str">
        <f>IF(COUNTA(A443:H443)=0,"",IF(OR(A443="",B443="",C443="",C443&lt;=0),"CHECK: Date, Type and positive Amount required",IF(OR(AND(B443="Income",D443="",E443&lt;&gt;"",F443&lt;&gt;"",COUNTIFS(Accounts!$A$5:$A$50,E443,Accounts!$D$5:$D$50,"Asset")=1,COUNTIFS(Categories!$A$5:$A$100,F443,Categories!$C$5:$C$100,"Income")=1),AND(B443="Expense",D443&lt;&gt;"",E443="",F443&lt;&gt;"",COUNTIF(Accounts!$A$5:$A$50,D443)=1,COUNTIFS(Categories!$A$5:$A$100,F443,Categories!$C$5:$C$100,"Expense")=1),AND(B443="Refund",D443="",E443&lt;&gt;"",F443&lt;&gt;"",COUNTIF(Accounts!$A$5:$A$50,E443)=1,COUNTIFS(Categories!$A$5:$A$100,F443,Categories!$C$5:$C$100,"Expense")=1),AND(B443="Transfer",D443&lt;&gt;"",E443&lt;&gt;"",D443&lt;&gt;E443,F443="",COUNTIF(Accounts!$A$5:$A$50,D443)=1,COUNTIF(Accounts!$A$5:$A$50,E443)=1),AND(B443="Allocation",F443="Savings &amp; Investment",OR(AND(D443&lt;&gt;"",E443="",COUNTIFS(Accounts!$A$5:$A$50,D443,Accounts!$D$5:$D$50,"Asset")=1),AND(D443="",E443&lt;&gt;"",COUNTIFS(Accounts!$A$5:$A$50,E443,Accounts!$D$5:$D$50,"Asset")=1))),AND(B443="Adjustment",F443="",OR(AND(D443&lt;&gt;"",E443="",COUNTIF(Accounts!$A$5:$A$50,D443)=1),AND(D443="",E443&lt;&gt;"",COUNTIF(Accounts!$A$5:$A$50,E443)=1)))),"OK","CHECK: Type / account / category combination")))</f>
        <v/>
      </c>
    </row>
    <row r="444" spans="1:9">
      <c r="A444" s="56"/>
      <c r="C444" s="57"/>
      <c r="I444" s="13" t="str">
        <f>IF(COUNTA(A444:H444)=0,"",IF(OR(A444="",B444="",C444="",C444&lt;=0),"CHECK: Date, Type and positive Amount required",IF(OR(AND(B444="Income",D444="",E444&lt;&gt;"",F444&lt;&gt;"",COUNTIFS(Accounts!$A$5:$A$50,E444,Accounts!$D$5:$D$50,"Asset")=1,COUNTIFS(Categories!$A$5:$A$100,F444,Categories!$C$5:$C$100,"Income")=1),AND(B444="Expense",D444&lt;&gt;"",E444="",F444&lt;&gt;"",COUNTIF(Accounts!$A$5:$A$50,D444)=1,COUNTIFS(Categories!$A$5:$A$100,F444,Categories!$C$5:$C$100,"Expense")=1),AND(B444="Refund",D444="",E444&lt;&gt;"",F444&lt;&gt;"",COUNTIF(Accounts!$A$5:$A$50,E444)=1,COUNTIFS(Categories!$A$5:$A$100,F444,Categories!$C$5:$C$100,"Expense")=1),AND(B444="Transfer",D444&lt;&gt;"",E444&lt;&gt;"",D444&lt;&gt;E444,F444="",COUNTIF(Accounts!$A$5:$A$50,D444)=1,COUNTIF(Accounts!$A$5:$A$50,E444)=1),AND(B444="Allocation",F444="Savings &amp; Investment",OR(AND(D444&lt;&gt;"",E444="",COUNTIFS(Accounts!$A$5:$A$50,D444,Accounts!$D$5:$D$50,"Asset")=1),AND(D444="",E444&lt;&gt;"",COUNTIFS(Accounts!$A$5:$A$50,E444,Accounts!$D$5:$D$50,"Asset")=1))),AND(B444="Adjustment",F444="",OR(AND(D444&lt;&gt;"",E444="",COUNTIF(Accounts!$A$5:$A$50,D444)=1),AND(D444="",E444&lt;&gt;"",COUNTIF(Accounts!$A$5:$A$50,E444)=1)))),"OK","CHECK: Type / account / category combination")))</f>
        <v/>
      </c>
    </row>
    <row r="445" spans="1:9">
      <c r="A445" s="56"/>
      <c r="C445" s="57"/>
      <c r="I445" s="13" t="str">
        <f>IF(COUNTA(A445:H445)=0,"",IF(OR(A445="",B445="",C445="",C445&lt;=0),"CHECK: Date, Type and positive Amount required",IF(OR(AND(B445="Income",D445="",E445&lt;&gt;"",F445&lt;&gt;"",COUNTIFS(Accounts!$A$5:$A$50,E445,Accounts!$D$5:$D$50,"Asset")=1,COUNTIFS(Categories!$A$5:$A$100,F445,Categories!$C$5:$C$100,"Income")=1),AND(B445="Expense",D445&lt;&gt;"",E445="",F445&lt;&gt;"",COUNTIF(Accounts!$A$5:$A$50,D445)=1,COUNTIFS(Categories!$A$5:$A$100,F445,Categories!$C$5:$C$100,"Expense")=1),AND(B445="Refund",D445="",E445&lt;&gt;"",F445&lt;&gt;"",COUNTIF(Accounts!$A$5:$A$50,E445)=1,COUNTIFS(Categories!$A$5:$A$100,F445,Categories!$C$5:$C$100,"Expense")=1),AND(B445="Transfer",D445&lt;&gt;"",E445&lt;&gt;"",D445&lt;&gt;E445,F445="",COUNTIF(Accounts!$A$5:$A$50,D445)=1,COUNTIF(Accounts!$A$5:$A$50,E445)=1),AND(B445="Allocation",F445="Savings &amp; Investment",OR(AND(D445&lt;&gt;"",E445="",COUNTIFS(Accounts!$A$5:$A$50,D445,Accounts!$D$5:$D$50,"Asset")=1),AND(D445="",E445&lt;&gt;"",COUNTIFS(Accounts!$A$5:$A$50,E445,Accounts!$D$5:$D$50,"Asset")=1))),AND(B445="Adjustment",F445="",OR(AND(D445&lt;&gt;"",E445="",COUNTIF(Accounts!$A$5:$A$50,D445)=1),AND(D445="",E445&lt;&gt;"",COUNTIF(Accounts!$A$5:$A$50,E445)=1)))),"OK","CHECK: Type / account / category combination")))</f>
        <v/>
      </c>
    </row>
    <row r="446" spans="1:9">
      <c r="A446" s="56"/>
      <c r="C446" s="57"/>
      <c r="I446" s="13" t="str">
        <f>IF(COUNTA(A446:H446)=0,"",IF(OR(A446="",B446="",C446="",C446&lt;=0),"CHECK: Date, Type and positive Amount required",IF(OR(AND(B446="Income",D446="",E446&lt;&gt;"",F446&lt;&gt;"",COUNTIFS(Accounts!$A$5:$A$50,E446,Accounts!$D$5:$D$50,"Asset")=1,COUNTIFS(Categories!$A$5:$A$100,F446,Categories!$C$5:$C$100,"Income")=1),AND(B446="Expense",D446&lt;&gt;"",E446="",F446&lt;&gt;"",COUNTIF(Accounts!$A$5:$A$50,D446)=1,COUNTIFS(Categories!$A$5:$A$100,F446,Categories!$C$5:$C$100,"Expense")=1),AND(B446="Refund",D446="",E446&lt;&gt;"",F446&lt;&gt;"",COUNTIF(Accounts!$A$5:$A$50,E446)=1,COUNTIFS(Categories!$A$5:$A$100,F446,Categories!$C$5:$C$100,"Expense")=1),AND(B446="Transfer",D446&lt;&gt;"",E446&lt;&gt;"",D446&lt;&gt;E446,F446="",COUNTIF(Accounts!$A$5:$A$50,D446)=1,COUNTIF(Accounts!$A$5:$A$50,E446)=1),AND(B446="Allocation",F446="Savings &amp; Investment",OR(AND(D446&lt;&gt;"",E446="",COUNTIFS(Accounts!$A$5:$A$50,D446,Accounts!$D$5:$D$50,"Asset")=1),AND(D446="",E446&lt;&gt;"",COUNTIFS(Accounts!$A$5:$A$50,E446,Accounts!$D$5:$D$50,"Asset")=1))),AND(B446="Adjustment",F446="",OR(AND(D446&lt;&gt;"",E446="",COUNTIF(Accounts!$A$5:$A$50,D446)=1),AND(D446="",E446&lt;&gt;"",COUNTIF(Accounts!$A$5:$A$50,E446)=1)))),"OK","CHECK: Type / account / category combination")))</f>
        <v/>
      </c>
    </row>
    <row r="447" spans="1:9">
      <c r="A447" s="56"/>
      <c r="C447" s="57"/>
      <c r="I447" s="13" t="str">
        <f>IF(COUNTA(A447:H447)=0,"",IF(OR(A447="",B447="",C447="",C447&lt;=0),"CHECK: Date, Type and positive Amount required",IF(OR(AND(B447="Income",D447="",E447&lt;&gt;"",F447&lt;&gt;"",COUNTIFS(Accounts!$A$5:$A$50,E447,Accounts!$D$5:$D$50,"Asset")=1,COUNTIFS(Categories!$A$5:$A$100,F447,Categories!$C$5:$C$100,"Income")=1),AND(B447="Expense",D447&lt;&gt;"",E447="",F447&lt;&gt;"",COUNTIF(Accounts!$A$5:$A$50,D447)=1,COUNTIFS(Categories!$A$5:$A$100,F447,Categories!$C$5:$C$100,"Expense")=1),AND(B447="Refund",D447="",E447&lt;&gt;"",F447&lt;&gt;"",COUNTIF(Accounts!$A$5:$A$50,E447)=1,COUNTIFS(Categories!$A$5:$A$100,F447,Categories!$C$5:$C$100,"Expense")=1),AND(B447="Transfer",D447&lt;&gt;"",E447&lt;&gt;"",D447&lt;&gt;E447,F447="",COUNTIF(Accounts!$A$5:$A$50,D447)=1,COUNTIF(Accounts!$A$5:$A$50,E447)=1),AND(B447="Allocation",F447="Savings &amp; Investment",OR(AND(D447&lt;&gt;"",E447="",COUNTIFS(Accounts!$A$5:$A$50,D447,Accounts!$D$5:$D$50,"Asset")=1),AND(D447="",E447&lt;&gt;"",COUNTIFS(Accounts!$A$5:$A$50,E447,Accounts!$D$5:$D$50,"Asset")=1))),AND(B447="Adjustment",F447="",OR(AND(D447&lt;&gt;"",E447="",COUNTIF(Accounts!$A$5:$A$50,D447)=1),AND(D447="",E447&lt;&gt;"",COUNTIF(Accounts!$A$5:$A$50,E447)=1)))),"OK","CHECK: Type / account / category combination")))</f>
        <v/>
      </c>
    </row>
    <row r="448" spans="1:9">
      <c r="A448" s="56"/>
      <c r="C448" s="57"/>
      <c r="I448" s="13" t="str">
        <f>IF(COUNTA(A448:H448)=0,"",IF(OR(A448="",B448="",C448="",C448&lt;=0),"CHECK: Date, Type and positive Amount required",IF(OR(AND(B448="Income",D448="",E448&lt;&gt;"",F448&lt;&gt;"",COUNTIFS(Accounts!$A$5:$A$50,E448,Accounts!$D$5:$D$50,"Asset")=1,COUNTIFS(Categories!$A$5:$A$100,F448,Categories!$C$5:$C$100,"Income")=1),AND(B448="Expense",D448&lt;&gt;"",E448="",F448&lt;&gt;"",COUNTIF(Accounts!$A$5:$A$50,D448)=1,COUNTIFS(Categories!$A$5:$A$100,F448,Categories!$C$5:$C$100,"Expense")=1),AND(B448="Refund",D448="",E448&lt;&gt;"",F448&lt;&gt;"",COUNTIF(Accounts!$A$5:$A$50,E448)=1,COUNTIFS(Categories!$A$5:$A$100,F448,Categories!$C$5:$C$100,"Expense")=1),AND(B448="Transfer",D448&lt;&gt;"",E448&lt;&gt;"",D448&lt;&gt;E448,F448="",COUNTIF(Accounts!$A$5:$A$50,D448)=1,COUNTIF(Accounts!$A$5:$A$50,E448)=1),AND(B448="Allocation",F448="Savings &amp; Investment",OR(AND(D448&lt;&gt;"",E448="",COUNTIFS(Accounts!$A$5:$A$50,D448,Accounts!$D$5:$D$50,"Asset")=1),AND(D448="",E448&lt;&gt;"",COUNTIFS(Accounts!$A$5:$A$50,E448,Accounts!$D$5:$D$50,"Asset")=1))),AND(B448="Adjustment",F448="",OR(AND(D448&lt;&gt;"",E448="",COUNTIF(Accounts!$A$5:$A$50,D448)=1),AND(D448="",E448&lt;&gt;"",COUNTIF(Accounts!$A$5:$A$50,E448)=1)))),"OK","CHECK: Type / account / category combination")))</f>
        <v/>
      </c>
    </row>
    <row r="449" spans="1:9">
      <c r="A449" s="56"/>
      <c r="C449" s="57"/>
      <c r="I449" s="13" t="str">
        <f>IF(COUNTA(A449:H449)=0,"",IF(OR(A449="",B449="",C449="",C449&lt;=0),"CHECK: Date, Type and positive Amount required",IF(OR(AND(B449="Income",D449="",E449&lt;&gt;"",F449&lt;&gt;"",COUNTIFS(Accounts!$A$5:$A$50,E449,Accounts!$D$5:$D$50,"Asset")=1,COUNTIFS(Categories!$A$5:$A$100,F449,Categories!$C$5:$C$100,"Income")=1),AND(B449="Expense",D449&lt;&gt;"",E449="",F449&lt;&gt;"",COUNTIF(Accounts!$A$5:$A$50,D449)=1,COUNTIFS(Categories!$A$5:$A$100,F449,Categories!$C$5:$C$100,"Expense")=1),AND(B449="Refund",D449="",E449&lt;&gt;"",F449&lt;&gt;"",COUNTIF(Accounts!$A$5:$A$50,E449)=1,COUNTIFS(Categories!$A$5:$A$100,F449,Categories!$C$5:$C$100,"Expense")=1),AND(B449="Transfer",D449&lt;&gt;"",E449&lt;&gt;"",D449&lt;&gt;E449,F449="",COUNTIF(Accounts!$A$5:$A$50,D449)=1,COUNTIF(Accounts!$A$5:$A$50,E449)=1),AND(B449="Allocation",F449="Savings &amp; Investment",OR(AND(D449&lt;&gt;"",E449="",COUNTIFS(Accounts!$A$5:$A$50,D449,Accounts!$D$5:$D$50,"Asset")=1),AND(D449="",E449&lt;&gt;"",COUNTIFS(Accounts!$A$5:$A$50,E449,Accounts!$D$5:$D$50,"Asset")=1))),AND(B449="Adjustment",F449="",OR(AND(D449&lt;&gt;"",E449="",COUNTIF(Accounts!$A$5:$A$50,D449)=1),AND(D449="",E449&lt;&gt;"",COUNTIF(Accounts!$A$5:$A$50,E449)=1)))),"OK","CHECK: Type / account / category combination")))</f>
        <v/>
      </c>
    </row>
    <row r="450" spans="1:9">
      <c r="A450" s="56"/>
      <c r="C450" s="57"/>
      <c r="I450" s="13" t="str">
        <f>IF(COUNTA(A450:H450)=0,"",IF(OR(A450="",B450="",C450="",C450&lt;=0),"CHECK: Date, Type and positive Amount required",IF(OR(AND(B450="Income",D450="",E450&lt;&gt;"",F450&lt;&gt;"",COUNTIFS(Accounts!$A$5:$A$50,E450,Accounts!$D$5:$D$50,"Asset")=1,COUNTIFS(Categories!$A$5:$A$100,F450,Categories!$C$5:$C$100,"Income")=1),AND(B450="Expense",D450&lt;&gt;"",E450="",F450&lt;&gt;"",COUNTIF(Accounts!$A$5:$A$50,D450)=1,COUNTIFS(Categories!$A$5:$A$100,F450,Categories!$C$5:$C$100,"Expense")=1),AND(B450="Refund",D450="",E450&lt;&gt;"",F450&lt;&gt;"",COUNTIF(Accounts!$A$5:$A$50,E450)=1,COUNTIFS(Categories!$A$5:$A$100,F450,Categories!$C$5:$C$100,"Expense")=1),AND(B450="Transfer",D450&lt;&gt;"",E450&lt;&gt;"",D450&lt;&gt;E450,F450="",COUNTIF(Accounts!$A$5:$A$50,D450)=1,COUNTIF(Accounts!$A$5:$A$50,E450)=1),AND(B450="Allocation",F450="Savings &amp; Investment",OR(AND(D450&lt;&gt;"",E450="",COUNTIFS(Accounts!$A$5:$A$50,D450,Accounts!$D$5:$D$50,"Asset")=1),AND(D450="",E450&lt;&gt;"",COUNTIFS(Accounts!$A$5:$A$50,E450,Accounts!$D$5:$D$50,"Asset")=1))),AND(B450="Adjustment",F450="",OR(AND(D450&lt;&gt;"",E450="",COUNTIF(Accounts!$A$5:$A$50,D450)=1),AND(D450="",E450&lt;&gt;"",COUNTIF(Accounts!$A$5:$A$50,E450)=1)))),"OK","CHECK: Type / account / category combination")))</f>
        <v/>
      </c>
    </row>
    <row r="451" spans="1:9">
      <c r="A451" s="56"/>
      <c r="C451" s="57"/>
      <c r="I451" s="13" t="str">
        <f>IF(COUNTA(A451:H451)=0,"",IF(OR(A451="",B451="",C451="",C451&lt;=0),"CHECK: Date, Type and positive Amount required",IF(OR(AND(B451="Income",D451="",E451&lt;&gt;"",F451&lt;&gt;"",COUNTIFS(Accounts!$A$5:$A$50,E451,Accounts!$D$5:$D$50,"Asset")=1,COUNTIFS(Categories!$A$5:$A$100,F451,Categories!$C$5:$C$100,"Income")=1),AND(B451="Expense",D451&lt;&gt;"",E451="",F451&lt;&gt;"",COUNTIF(Accounts!$A$5:$A$50,D451)=1,COUNTIFS(Categories!$A$5:$A$100,F451,Categories!$C$5:$C$100,"Expense")=1),AND(B451="Refund",D451="",E451&lt;&gt;"",F451&lt;&gt;"",COUNTIF(Accounts!$A$5:$A$50,E451)=1,COUNTIFS(Categories!$A$5:$A$100,F451,Categories!$C$5:$C$100,"Expense")=1),AND(B451="Transfer",D451&lt;&gt;"",E451&lt;&gt;"",D451&lt;&gt;E451,F451="",COUNTIF(Accounts!$A$5:$A$50,D451)=1,COUNTIF(Accounts!$A$5:$A$50,E451)=1),AND(B451="Allocation",F451="Savings &amp; Investment",OR(AND(D451&lt;&gt;"",E451="",COUNTIFS(Accounts!$A$5:$A$50,D451,Accounts!$D$5:$D$50,"Asset")=1),AND(D451="",E451&lt;&gt;"",COUNTIFS(Accounts!$A$5:$A$50,E451,Accounts!$D$5:$D$50,"Asset")=1))),AND(B451="Adjustment",F451="",OR(AND(D451&lt;&gt;"",E451="",COUNTIF(Accounts!$A$5:$A$50,D451)=1),AND(D451="",E451&lt;&gt;"",COUNTIF(Accounts!$A$5:$A$50,E451)=1)))),"OK","CHECK: Type / account / category combination")))</f>
        <v/>
      </c>
    </row>
    <row r="452" spans="1:9">
      <c r="A452" s="56"/>
      <c r="C452" s="57"/>
      <c r="I452" s="13" t="str">
        <f>IF(COUNTA(A452:H452)=0,"",IF(OR(A452="",B452="",C452="",C452&lt;=0),"CHECK: Date, Type and positive Amount required",IF(OR(AND(B452="Income",D452="",E452&lt;&gt;"",F452&lt;&gt;"",COUNTIFS(Accounts!$A$5:$A$50,E452,Accounts!$D$5:$D$50,"Asset")=1,COUNTIFS(Categories!$A$5:$A$100,F452,Categories!$C$5:$C$100,"Income")=1),AND(B452="Expense",D452&lt;&gt;"",E452="",F452&lt;&gt;"",COUNTIF(Accounts!$A$5:$A$50,D452)=1,COUNTIFS(Categories!$A$5:$A$100,F452,Categories!$C$5:$C$100,"Expense")=1),AND(B452="Refund",D452="",E452&lt;&gt;"",F452&lt;&gt;"",COUNTIF(Accounts!$A$5:$A$50,E452)=1,COUNTIFS(Categories!$A$5:$A$100,F452,Categories!$C$5:$C$100,"Expense")=1),AND(B452="Transfer",D452&lt;&gt;"",E452&lt;&gt;"",D452&lt;&gt;E452,F452="",COUNTIF(Accounts!$A$5:$A$50,D452)=1,COUNTIF(Accounts!$A$5:$A$50,E452)=1),AND(B452="Allocation",F452="Savings &amp; Investment",OR(AND(D452&lt;&gt;"",E452="",COUNTIFS(Accounts!$A$5:$A$50,D452,Accounts!$D$5:$D$50,"Asset")=1),AND(D452="",E452&lt;&gt;"",COUNTIFS(Accounts!$A$5:$A$50,E452,Accounts!$D$5:$D$50,"Asset")=1))),AND(B452="Adjustment",F452="",OR(AND(D452&lt;&gt;"",E452="",COUNTIF(Accounts!$A$5:$A$50,D452)=1),AND(D452="",E452&lt;&gt;"",COUNTIF(Accounts!$A$5:$A$50,E452)=1)))),"OK","CHECK: Type / account / category combination")))</f>
        <v/>
      </c>
    </row>
    <row r="453" spans="1:9">
      <c r="A453" s="56"/>
      <c r="C453" s="57"/>
      <c r="I453" s="13" t="str">
        <f>IF(COUNTA(A453:H453)=0,"",IF(OR(A453="",B453="",C453="",C453&lt;=0),"CHECK: Date, Type and positive Amount required",IF(OR(AND(B453="Income",D453="",E453&lt;&gt;"",F453&lt;&gt;"",COUNTIFS(Accounts!$A$5:$A$50,E453,Accounts!$D$5:$D$50,"Asset")=1,COUNTIFS(Categories!$A$5:$A$100,F453,Categories!$C$5:$C$100,"Income")=1),AND(B453="Expense",D453&lt;&gt;"",E453="",F453&lt;&gt;"",COUNTIF(Accounts!$A$5:$A$50,D453)=1,COUNTIFS(Categories!$A$5:$A$100,F453,Categories!$C$5:$C$100,"Expense")=1),AND(B453="Refund",D453="",E453&lt;&gt;"",F453&lt;&gt;"",COUNTIF(Accounts!$A$5:$A$50,E453)=1,COUNTIFS(Categories!$A$5:$A$100,F453,Categories!$C$5:$C$100,"Expense")=1),AND(B453="Transfer",D453&lt;&gt;"",E453&lt;&gt;"",D453&lt;&gt;E453,F453="",COUNTIF(Accounts!$A$5:$A$50,D453)=1,COUNTIF(Accounts!$A$5:$A$50,E453)=1),AND(B453="Allocation",F453="Savings &amp; Investment",OR(AND(D453&lt;&gt;"",E453="",COUNTIFS(Accounts!$A$5:$A$50,D453,Accounts!$D$5:$D$50,"Asset")=1),AND(D453="",E453&lt;&gt;"",COUNTIFS(Accounts!$A$5:$A$50,E453,Accounts!$D$5:$D$50,"Asset")=1))),AND(B453="Adjustment",F453="",OR(AND(D453&lt;&gt;"",E453="",COUNTIF(Accounts!$A$5:$A$50,D453)=1),AND(D453="",E453&lt;&gt;"",COUNTIF(Accounts!$A$5:$A$50,E453)=1)))),"OK","CHECK: Type / account / category combination")))</f>
        <v/>
      </c>
    </row>
    <row r="454" spans="1:9">
      <c r="A454" s="56"/>
      <c r="C454" s="57"/>
      <c r="I454" s="13" t="str">
        <f>IF(COUNTA(A454:H454)=0,"",IF(OR(A454="",B454="",C454="",C454&lt;=0),"CHECK: Date, Type and positive Amount required",IF(OR(AND(B454="Income",D454="",E454&lt;&gt;"",F454&lt;&gt;"",COUNTIFS(Accounts!$A$5:$A$50,E454,Accounts!$D$5:$D$50,"Asset")=1,COUNTIFS(Categories!$A$5:$A$100,F454,Categories!$C$5:$C$100,"Income")=1),AND(B454="Expense",D454&lt;&gt;"",E454="",F454&lt;&gt;"",COUNTIF(Accounts!$A$5:$A$50,D454)=1,COUNTIFS(Categories!$A$5:$A$100,F454,Categories!$C$5:$C$100,"Expense")=1),AND(B454="Refund",D454="",E454&lt;&gt;"",F454&lt;&gt;"",COUNTIF(Accounts!$A$5:$A$50,E454)=1,COUNTIFS(Categories!$A$5:$A$100,F454,Categories!$C$5:$C$100,"Expense")=1),AND(B454="Transfer",D454&lt;&gt;"",E454&lt;&gt;"",D454&lt;&gt;E454,F454="",COUNTIF(Accounts!$A$5:$A$50,D454)=1,COUNTIF(Accounts!$A$5:$A$50,E454)=1),AND(B454="Allocation",F454="Savings &amp; Investment",OR(AND(D454&lt;&gt;"",E454="",COUNTIFS(Accounts!$A$5:$A$50,D454,Accounts!$D$5:$D$50,"Asset")=1),AND(D454="",E454&lt;&gt;"",COUNTIFS(Accounts!$A$5:$A$50,E454,Accounts!$D$5:$D$50,"Asset")=1))),AND(B454="Adjustment",F454="",OR(AND(D454&lt;&gt;"",E454="",COUNTIF(Accounts!$A$5:$A$50,D454)=1),AND(D454="",E454&lt;&gt;"",COUNTIF(Accounts!$A$5:$A$50,E454)=1)))),"OK","CHECK: Type / account / category combination")))</f>
        <v/>
      </c>
    </row>
    <row r="455" spans="1:9">
      <c r="A455" s="56"/>
      <c r="C455" s="57"/>
      <c r="I455" s="13" t="str">
        <f>IF(COUNTA(A455:H455)=0,"",IF(OR(A455="",B455="",C455="",C455&lt;=0),"CHECK: Date, Type and positive Amount required",IF(OR(AND(B455="Income",D455="",E455&lt;&gt;"",F455&lt;&gt;"",COUNTIFS(Accounts!$A$5:$A$50,E455,Accounts!$D$5:$D$50,"Asset")=1,COUNTIFS(Categories!$A$5:$A$100,F455,Categories!$C$5:$C$100,"Income")=1),AND(B455="Expense",D455&lt;&gt;"",E455="",F455&lt;&gt;"",COUNTIF(Accounts!$A$5:$A$50,D455)=1,COUNTIFS(Categories!$A$5:$A$100,F455,Categories!$C$5:$C$100,"Expense")=1),AND(B455="Refund",D455="",E455&lt;&gt;"",F455&lt;&gt;"",COUNTIF(Accounts!$A$5:$A$50,E455)=1,COUNTIFS(Categories!$A$5:$A$100,F455,Categories!$C$5:$C$100,"Expense")=1),AND(B455="Transfer",D455&lt;&gt;"",E455&lt;&gt;"",D455&lt;&gt;E455,F455="",COUNTIF(Accounts!$A$5:$A$50,D455)=1,COUNTIF(Accounts!$A$5:$A$50,E455)=1),AND(B455="Allocation",F455="Savings &amp; Investment",OR(AND(D455&lt;&gt;"",E455="",COUNTIFS(Accounts!$A$5:$A$50,D455,Accounts!$D$5:$D$50,"Asset")=1),AND(D455="",E455&lt;&gt;"",COUNTIFS(Accounts!$A$5:$A$50,E455,Accounts!$D$5:$D$50,"Asset")=1))),AND(B455="Adjustment",F455="",OR(AND(D455&lt;&gt;"",E455="",COUNTIF(Accounts!$A$5:$A$50,D455)=1),AND(D455="",E455&lt;&gt;"",COUNTIF(Accounts!$A$5:$A$50,E455)=1)))),"OK","CHECK: Type / account / category combination")))</f>
        <v/>
      </c>
    </row>
    <row r="456" spans="1:9">
      <c r="A456" s="56"/>
      <c r="C456" s="57"/>
      <c r="I456" s="13" t="str">
        <f>IF(COUNTA(A456:H456)=0,"",IF(OR(A456="",B456="",C456="",C456&lt;=0),"CHECK: Date, Type and positive Amount required",IF(OR(AND(B456="Income",D456="",E456&lt;&gt;"",F456&lt;&gt;"",COUNTIFS(Accounts!$A$5:$A$50,E456,Accounts!$D$5:$D$50,"Asset")=1,COUNTIFS(Categories!$A$5:$A$100,F456,Categories!$C$5:$C$100,"Income")=1),AND(B456="Expense",D456&lt;&gt;"",E456="",F456&lt;&gt;"",COUNTIF(Accounts!$A$5:$A$50,D456)=1,COUNTIFS(Categories!$A$5:$A$100,F456,Categories!$C$5:$C$100,"Expense")=1),AND(B456="Refund",D456="",E456&lt;&gt;"",F456&lt;&gt;"",COUNTIF(Accounts!$A$5:$A$50,E456)=1,COUNTIFS(Categories!$A$5:$A$100,F456,Categories!$C$5:$C$100,"Expense")=1),AND(B456="Transfer",D456&lt;&gt;"",E456&lt;&gt;"",D456&lt;&gt;E456,F456="",COUNTIF(Accounts!$A$5:$A$50,D456)=1,COUNTIF(Accounts!$A$5:$A$50,E456)=1),AND(B456="Allocation",F456="Savings &amp; Investment",OR(AND(D456&lt;&gt;"",E456="",COUNTIFS(Accounts!$A$5:$A$50,D456,Accounts!$D$5:$D$50,"Asset")=1),AND(D456="",E456&lt;&gt;"",COUNTIFS(Accounts!$A$5:$A$50,E456,Accounts!$D$5:$D$50,"Asset")=1))),AND(B456="Adjustment",F456="",OR(AND(D456&lt;&gt;"",E456="",COUNTIF(Accounts!$A$5:$A$50,D456)=1),AND(D456="",E456&lt;&gt;"",COUNTIF(Accounts!$A$5:$A$50,E456)=1)))),"OK","CHECK: Type / account / category combination")))</f>
        <v/>
      </c>
    </row>
    <row r="457" spans="1:9">
      <c r="A457" s="56"/>
      <c r="C457" s="57"/>
      <c r="I457" s="13" t="str">
        <f>IF(COUNTA(A457:H457)=0,"",IF(OR(A457="",B457="",C457="",C457&lt;=0),"CHECK: Date, Type and positive Amount required",IF(OR(AND(B457="Income",D457="",E457&lt;&gt;"",F457&lt;&gt;"",COUNTIFS(Accounts!$A$5:$A$50,E457,Accounts!$D$5:$D$50,"Asset")=1,COUNTIFS(Categories!$A$5:$A$100,F457,Categories!$C$5:$C$100,"Income")=1),AND(B457="Expense",D457&lt;&gt;"",E457="",F457&lt;&gt;"",COUNTIF(Accounts!$A$5:$A$50,D457)=1,COUNTIFS(Categories!$A$5:$A$100,F457,Categories!$C$5:$C$100,"Expense")=1),AND(B457="Refund",D457="",E457&lt;&gt;"",F457&lt;&gt;"",COUNTIF(Accounts!$A$5:$A$50,E457)=1,COUNTIFS(Categories!$A$5:$A$100,F457,Categories!$C$5:$C$100,"Expense")=1),AND(B457="Transfer",D457&lt;&gt;"",E457&lt;&gt;"",D457&lt;&gt;E457,F457="",COUNTIF(Accounts!$A$5:$A$50,D457)=1,COUNTIF(Accounts!$A$5:$A$50,E457)=1),AND(B457="Allocation",F457="Savings &amp; Investment",OR(AND(D457&lt;&gt;"",E457="",COUNTIFS(Accounts!$A$5:$A$50,D457,Accounts!$D$5:$D$50,"Asset")=1),AND(D457="",E457&lt;&gt;"",COUNTIFS(Accounts!$A$5:$A$50,E457,Accounts!$D$5:$D$50,"Asset")=1))),AND(B457="Adjustment",F457="",OR(AND(D457&lt;&gt;"",E457="",COUNTIF(Accounts!$A$5:$A$50,D457)=1),AND(D457="",E457&lt;&gt;"",COUNTIF(Accounts!$A$5:$A$50,E457)=1)))),"OK","CHECK: Type / account / category combination")))</f>
        <v/>
      </c>
    </row>
    <row r="458" spans="1:9">
      <c r="A458" s="56"/>
      <c r="C458" s="57"/>
      <c r="I458" s="13" t="str">
        <f>IF(COUNTA(A458:H458)=0,"",IF(OR(A458="",B458="",C458="",C458&lt;=0),"CHECK: Date, Type and positive Amount required",IF(OR(AND(B458="Income",D458="",E458&lt;&gt;"",F458&lt;&gt;"",COUNTIFS(Accounts!$A$5:$A$50,E458,Accounts!$D$5:$D$50,"Asset")=1,COUNTIFS(Categories!$A$5:$A$100,F458,Categories!$C$5:$C$100,"Income")=1),AND(B458="Expense",D458&lt;&gt;"",E458="",F458&lt;&gt;"",COUNTIF(Accounts!$A$5:$A$50,D458)=1,COUNTIFS(Categories!$A$5:$A$100,F458,Categories!$C$5:$C$100,"Expense")=1),AND(B458="Refund",D458="",E458&lt;&gt;"",F458&lt;&gt;"",COUNTIF(Accounts!$A$5:$A$50,E458)=1,COUNTIFS(Categories!$A$5:$A$100,F458,Categories!$C$5:$C$100,"Expense")=1),AND(B458="Transfer",D458&lt;&gt;"",E458&lt;&gt;"",D458&lt;&gt;E458,F458="",COUNTIF(Accounts!$A$5:$A$50,D458)=1,COUNTIF(Accounts!$A$5:$A$50,E458)=1),AND(B458="Allocation",F458="Savings &amp; Investment",OR(AND(D458&lt;&gt;"",E458="",COUNTIFS(Accounts!$A$5:$A$50,D458,Accounts!$D$5:$D$50,"Asset")=1),AND(D458="",E458&lt;&gt;"",COUNTIFS(Accounts!$A$5:$A$50,E458,Accounts!$D$5:$D$50,"Asset")=1))),AND(B458="Adjustment",F458="",OR(AND(D458&lt;&gt;"",E458="",COUNTIF(Accounts!$A$5:$A$50,D458)=1),AND(D458="",E458&lt;&gt;"",COUNTIF(Accounts!$A$5:$A$50,E458)=1)))),"OK","CHECK: Type / account / category combination")))</f>
        <v/>
      </c>
    </row>
    <row r="459" spans="1:9">
      <c r="A459" s="56"/>
      <c r="C459" s="57"/>
      <c r="I459" s="13" t="str">
        <f>IF(COUNTA(A459:H459)=0,"",IF(OR(A459="",B459="",C459="",C459&lt;=0),"CHECK: Date, Type and positive Amount required",IF(OR(AND(B459="Income",D459="",E459&lt;&gt;"",F459&lt;&gt;"",COUNTIFS(Accounts!$A$5:$A$50,E459,Accounts!$D$5:$D$50,"Asset")=1,COUNTIFS(Categories!$A$5:$A$100,F459,Categories!$C$5:$C$100,"Income")=1),AND(B459="Expense",D459&lt;&gt;"",E459="",F459&lt;&gt;"",COUNTIF(Accounts!$A$5:$A$50,D459)=1,COUNTIFS(Categories!$A$5:$A$100,F459,Categories!$C$5:$C$100,"Expense")=1),AND(B459="Refund",D459="",E459&lt;&gt;"",F459&lt;&gt;"",COUNTIF(Accounts!$A$5:$A$50,E459)=1,COUNTIFS(Categories!$A$5:$A$100,F459,Categories!$C$5:$C$100,"Expense")=1),AND(B459="Transfer",D459&lt;&gt;"",E459&lt;&gt;"",D459&lt;&gt;E459,F459="",COUNTIF(Accounts!$A$5:$A$50,D459)=1,COUNTIF(Accounts!$A$5:$A$50,E459)=1),AND(B459="Allocation",F459="Savings &amp; Investment",OR(AND(D459&lt;&gt;"",E459="",COUNTIFS(Accounts!$A$5:$A$50,D459,Accounts!$D$5:$D$50,"Asset")=1),AND(D459="",E459&lt;&gt;"",COUNTIFS(Accounts!$A$5:$A$50,E459,Accounts!$D$5:$D$50,"Asset")=1))),AND(B459="Adjustment",F459="",OR(AND(D459&lt;&gt;"",E459="",COUNTIF(Accounts!$A$5:$A$50,D459)=1),AND(D459="",E459&lt;&gt;"",COUNTIF(Accounts!$A$5:$A$50,E459)=1)))),"OK","CHECK: Type / account / category combination")))</f>
        <v/>
      </c>
    </row>
    <row r="460" spans="1:9">
      <c r="A460" s="56"/>
      <c r="C460" s="57"/>
      <c r="I460" s="13" t="str">
        <f>IF(COUNTA(A460:H460)=0,"",IF(OR(A460="",B460="",C460="",C460&lt;=0),"CHECK: Date, Type and positive Amount required",IF(OR(AND(B460="Income",D460="",E460&lt;&gt;"",F460&lt;&gt;"",COUNTIFS(Accounts!$A$5:$A$50,E460,Accounts!$D$5:$D$50,"Asset")=1,COUNTIFS(Categories!$A$5:$A$100,F460,Categories!$C$5:$C$100,"Income")=1),AND(B460="Expense",D460&lt;&gt;"",E460="",F460&lt;&gt;"",COUNTIF(Accounts!$A$5:$A$50,D460)=1,COUNTIFS(Categories!$A$5:$A$100,F460,Categories!$C$5:$C$100,"Expense")=1),AND(B460="Refund",D460="",E460&lt;&gt;"",F460&lt;&gt;"",COUNTIF(Accounts!$A$5:$A$50,E460)=1,COUNTIFS(Categories!$A$5:$A$100,F460,Categories!$C$5:$C$100,"Expense")=1),AND(B460="Transfer",D460&lt;&gt;"",E460&lt;&gt;"",D460&lt;&gt;E460,F460="",COUNTIF(Accounts!$A$5:$A$50,D460)=1,COUNTIF(Accounts!$A$5:$A$50,E460)=1),AND(B460="Allocation",F460="Savings &amp; Investment",OR(AND(D460&lt;&gt;"",E460="",COUNTIFS(Accounts!$A$5:$A$50,D460,Accounts!$D$5:$D$50,"Asset")=1),AND(D460="",E460&lt;&gt;"",COUNTIFS(Accounts!$A$5:$A$50,E460,Accounts!$D$5:$D$50,"Asset")=1))),AND(B460="Adjustment",F460="",OR(AND(D460&lt;&gt;"",E460="",COUNTIF(Accounts!$A$5:$A$50,D460)=1),AND(D460="",E460&lt;&gt;"",COUNTIF(Accounts!$A$5:$A$50,E460)=1)))),"OK","CHECK: Type / account / category combination")))</f>
        <v/>
      </c>
    </row>
    <row r="461" spans="1:9">
      <c r="A461" s="56"/>
      <c r="C461" s="57"/>
      <c r="I461" s="13" t="str">
        <f>IF(COUNTA(A461:H461)=0,"",IF(OR(A461="",B461="",C461="",C461&lt;=0),"CHECK: Date, Type and positive Amount required",IF(OR(AND(B461="Income",D461="",E461&lt;&gt;"",F461&lt;&gt;"",COUNTIFS(Accounts!$A$5:$A$50,E461,Accounts!$D$5:$D$50,"Asset")=1,COUNTIFS(Categories!$A$5:$A$100,F461,Categories!$C$5:$C$100,"Income")=1),AND(B461="Expense",D461&lt;&gt;"",E461="",F461&lt;&gt;"",COUNTIF(Accounts!$A$5:$A$50,D461)=1,COUNTIFS(Categories!$A$5:$A$100,F461,Categories!$C$5:$C$100,"Expense")=1),AND(B461="Refund",D461="",E461&lt;&gt;"",F461&lt;&gt;"",COUNTIF(Accounts!$A$5:$A$50,E461)=1,COUNTIFS(Categories!$A$5:$A$100,F461,Categories!$C$5:$C$100,"Expense")=1),AND(B461="Transfer",D461&lt;&gt;"",E461&lt;&gt;"",D461&lt;&gt;E461,F461="",COUNTIF(Accounts!$A$5:$A$50,D461)=1,COUNTIF(Accounts!$A$5:$A$50,E461)=1),AND(B461="Allocation",F461="Savings &amp; Investment",OR(AND(D461&lt;&gt;"",E461="",COUNTIFS(Accounts!$A$5:$A$50,D461,Accounts!$D$5:$D$50,"Asset")=1),AND(D461="",E461&lt;&gt;"",COUNTIFS(Accounts!$A$5:$A$50,E461,Accounts!$D$5:$D$50,"Asset")=1))),AND(B461="Adjustment",F461="",OR(AND(D461&lt;&gt;"",E461="",COUNTIF(Accounts!$A$5:$A$50,D461)=1),AND(D461="",E461&lt;&gt;"",COUNTIF(Accounts!$A$5:$A$50,E461)=1)))),"OK","CHECK: Type / account / category combination")))</f>
        <v/>
      </c>
    </row>
    <row r="462" spans="1:9">
      <c r="A462" s="56"/>
      <c r="C462" s="57"/>
      <c r="I462" s="13" t="str">
        <f>IF(COUNTA(A462:H462)=0,"",IF(OR(A462="",B462="",C462="",C462&lt;=0),"CHECK: Date, Type and positive Amount required",IF(OR(AND(B462="Income",D462="",E462&lt;&gt;"",F462&lt;&gt;"",COUNTIFS(Accounts!$A$5:$A$50,E462,Accounts!$D$5:$D$50,"Asset")=1,COUNTIFS(Categories!$A$5:$A$100,F462,Categories!$C$5:$C$100,"Income")=1),AND(B462="Expense",D462&lt;&gt;"",E462="",F462&lt;&gt;"",COUNTIF(Accounts!$A$5:$A$50,D462)=1,COUNTIFS(Categories!$A$5:$A$100,F462,Categories!$C$5:$C$100,"Expense")=1),AND(B462="Refund",D462="",E462&lt;&gt;"",F462&lt;&gt;"",COUNTIF(Accounts!$A$5:$A$50,E462)=1,COUNTIFS(Categories!$A$5:$A$100,F462,Categories!$C$5:$C$100,"Expense")=1),AND(B462="Transfer",D462&lt;&gt;"",E462&lt;&gt;"",D462&lt;&gt;E462,F462="",COUNTIF(Accounts!$A$5:$A$50,D462)=1,COUNTIF(Accounts!$A$5:$A$50,E462)=1),AND(B462="Allocation",F462="Savings &amp; Investment",OR(AND(D462&lt;&gt;"",E462="",COUNTIFS(Accounts!$A$5:$A$50,D462,Accounts!$D$5:$D$50,"Asset")=1),AND(D462="",E462&lt;&gt;"",COUNTIFS(Accounts!$A$5:$A$50,E462,Accounts!$D$5:$D$50,"Asset")=1))),AND(B462="Adjustment",F462="",OR(AND(D462&lt;&gt;"",E462="",COUNTIF(Accounts!$A$5:$A$50,D462)=1),AND(D462="",E462&lt;&gt;"",COUNTIF(Accounts!$A$5:$A$50,E462)=1)))),"OK","CHECK: Type / account / category combination")))</f>
        <v/>
      </c>
    </row>
    <row r="463" spans="1:9">
      <c r="A463" s="56"/>
      <c r="C463" s="57"/>
      <c r="I463" s="13" t="str">
        <f>IF(COUNTA(A463:H463)=0,"",IF(OR(A463="",B463="",C463="",C463&lt;=0),"CHECK: Date, Type and positive Amount required",IF(OR(AND(B463="Income",D463="",E463&lt;&gt;"",F463&lt;&gt;"",COUNTIFS(Accounts!$A$5:$A$50,E463,Accounts!$D$5:$D$50,"Asset")=1,COUNTIFS(Categories!$A$5:$A$100,F463,Categories!$C$5:$C$100,"Income")=1),AND(B463="Expense",D463&lt;&gt;"",E463="",F463&lt;&gt;"",COUNTIF(Accounts!$A$5:$A$50,D463)=1,COUNTIFS(Categories!$A$5:$A$100,F463,Categories!$C$5:$C$100,"Expense")=1),AND(B463="Refund",D463="",E463&lt;&gt;"",F463&lt;&gt;"",COUNTIF(Accounts!$A$5:$A$50,E463)=1,COUNTIFS(Categories!$A$5:$A$100,F463,Categories!$C$5:$C$100,"Expense")=1),AND(B463="Transfer",D463&lt;&gt;"",E463&lt;&gt;"",D463&lt;&gt;E463,F463="",COUNTIF(Accounts!$A$5:$A$50,D463)=1,COUNTIF(Accounts!$A$5:$A$50,E463)=1),AND(B463="Allocation",F463="Savings &amp; Investment",OR(AND(D463&lt;&gt;"",E463="",COUNTIFS(Accounts!$A$5:$A$50,D463,Accounts!$D$5:$D$50,"Asset")=1),AND(D463="",E463&lt;&gt;"",COUNTIFS(Accounts!$A$5:$A$50,E463,Accounts!$D$5:$D$50,"Asset")=1))),AND(B463="Adjustment",F463="",OR(AND(D463&lt;&gt;"",E463="",COUNTIF(Accounts!$A$5:$A$50,D463)=1),AND(D463="",E463&lt;&gt;"",COUNTIF(Accounts!$A$5:$A$50,E463)=1)))),"OK","CHECK: Type / account / category combination")))</f>
        <v/>
      </c>
    </row>
    <row r="464" spans="1:9">
      <c r="A464" s="56"/>
      <c r="C464" s="57"/>
      <c r="I464" s="13" t="str">
        <f>IF(COUNTA(A464:H464)=0,"",IF(OR(A464="",B464="",C464="",C464&lt;=0),"CHECK: Date, Type and positive Amount required",IF(OR(AND(B464="Income",D464="",E464&lt;&gt;"",F464&lt;&gt;"",COUNTIFS(Accounts!$A$5:$A$50,E464,Accounts!$D$5:$D$50,"Asset")=1,COUNTIFS(Categories!$A$5:$A$100,F464,Categories!$C$5:$C$100,"Income")=1),AND(B464="Expense",D464&lt;&gt;"",E464="",F464&lt;&gt;"",COUNTIF(Accounts!$A$5:$A$50,D464)=1,COUNTIFS(Categories!$A$5:$A$100,F464,Categories!$C$5:$C$100,"Expense")=1),AND(B464="Refund",D464="",E464&lt;&gt;"",F464&lt;&gt;"",COUNTIF(Accounts!$A$5:$A$50,E464)=1,COUNTIFS(Categories!$A$5:$A$100,F464,Categories!$C$5:$C$100,"Expense")=1),AND(B464="Transfer",D464&lt;&gt;"",E464&lt;&gt;"",D464&lt;&gt;E464,F464="",COUNTIF(Accounts!$A$5:$A$50,D464)=1,COUNTIF(Accounts!$A$5:$A$50,E464)=1),AND(B464="Allocation",F464="Savings &amp; Investment",OR(AND(D464&lt;&gt;"",E464="",COUNTIFS(Accounts!$A$5:$A$50,D464,Accounts!$D$5:$D$50,"Asset")=1),AND(D464="",E464&lt;&gt;"",COUNTIFS(Accounts!$A$5:$A$50,E464,Accounts!$D$5:$D$50,"Asset")=1))),AND(B464="Adjustment",F464="",OR(AND(D464&lt;&gt;"",E464="",COUNTIF(Accounts!$A$5:$A$50,D464)=1),AND(D464="",E464&lt;&gt;"",COUNTIF(Accounts!$A$5:$A$50,E464)=1)))),"OK","CHECK: Type / account / category combination")))</f>
        <v/>
      </c>
    </row>
    <row r="465" spans="1:9">
      <c r="A465" s="56"/>
      <c r="C465" s="57"/>
      <c r="I465" s="13" t="str">
        <f>IF(COUNTA(A465:H465)=0,"",IF(OR(A465="",B465="",C465="",C465&lt;=0),"CHECK: Date, Type and positive Amount required",IF(OR(AND(B465="Income",D465="",E465&lt;&gt;"",F465&lt;&gt;"",COUNTIFS(Accounts!$A$5:$A$50,E465,Accounts!$D$5:$D$50,"Asset")=1,COUNTIFS(Categories!$A$5:$A$100,F465,Categories!$C$5:$C$100,"Income")=1),AND(B465="Expense",D465&lt;&gt;"",E465="",F465&lt;&gt;"",COUNTIF(Accounts!$A$5:$A$50,D465)=1,COUNTIFS(Categories!$A$5:$A$100,F465,Categories!$C$5:$C$100,"Expense")=1),AND(B465="Refund",D465="",E465&lt;&gt;"",F465&lt;&gt;"",COUNTIF(Accounts!$A$5:$A$50,E465)=1,COUNTIFS(Categories!$A$5:$A$100,F465,Categories!$C$5:$C$100,"Expense")=1),AND(B465="Transfer",D465&lt;&gt;"",E465&lt;&gt;"",D465&lt;&gt;E465,F465="",COUNTIF(Accounts!$A$5:$A$50,D465)=1,COUNTIF(Accounts!$A$5:$A$50,E465)=1),AND(B465="Allocation",F465="Savings &amp; Investment",OR(AND(D465&lt;&gt;"",E465="",COUNTIFS(Accounts!$A$5:$A$50,D465,Accounts!$D$5:$D$50,"Asset")=1),AND(D465="",E465&lt;&gt;"",COUNTIFS(Accounts!$A$5:$A$50,E465,Accounts!$D$5:$D$50,"Asset")=1))),AND(B465="Adjustment",F465="",OR(AND(D465&lt;&gt;"",E465="",COUNTIF(Accounts!$A$5:$A$50,D465)=1),AND(D465="",E465&lt;&gt;"",COUNTIF(Accounts!$A$5:$A$50,E465)=1)))),"OK","CHECK: Type / account / category combination")))</f>
        <v/>
      </c>
    </row>
    <row r="466" spans="1:9">
      <c r="A466" s="56"/>
      <c r="C466" s="57"/>
      <c r="I466" s="13" t="str">
        <f>IF(COUNTA(A466:H466)=0,"",IF(OR(A466="",B466="",C466="",C466&lt;=0),"CHECK: Date, Type and positive Amount required",IF(OR(AND(B466="Income",D466="",E466&lt;&gt;"",F466&lt;&gt;"",COUNTIFS(Accounts!$A$5:$A$50,E466,Accounts!$D$5:$D$50,"Asset")=1,COUNTIFS(Categories!$A$5:$A$100,F466,Categories!$C$5:$C$100,"Income")=1),AND(B466="Expense",D466&lt;&gt;"",E466="",F466&lt;&gt;"",COUNTIF(Accounts!$A$5:$A$50,D466)=1,COUNTIFS(Categories!$A$5:$A$100,F466,Categories!$C$5:$C$100,"Expense")=1),AND(B466="Refund",D466="",E466&lt;&gt;"",F466&lt;&gt;"",COUNTIF(Accounts!$A$5:$A$50,E466)=1,COUNTIFS(Categories!$A$5:$A$100,F466,Categories!$C$5:$C$100,"Expense")=1),AND(B466="Transfer",D466&lt;&gt;"",E466&lt;&gt;"",D466&lt;&gt;E466,F466="",COUNTIF(Accounts!$A$5:$A$50,D466)=1,COUNTIF(Accounts!$A$5:$A$50,E466)=1),AND(B466="Allocation",F466="Savings &amp; Investment",OR(AND(D466&lt;&gt;"",E466="",COUNTIFS(Accounts!$A$5:$A$50,D466,Accounts!$D$5:$D$50,"Asset")=1),AND(D466="",E466&lt;&gt;"",COUNTIFS(Accounts!$A$5:$A$50,E466,Accounts!$D$5:$D$50,"Asset")=1))),AND(B466="Adjustment",F466="",OR(AND(D466&lt;&gt;"",E466="",COUNTIF(Accounts!$A$5:$A$50,D466)=1),AND(D466="",E466&lt;&gt;"",COUNTIF(Accounts!$A$5:$A$50,E466)=1)))),"OK","CHECK: Type / account / category combination")))</f>
        <v/>
      </c>
    </row>
    <row r="467" spans="1:9">
      <c r="A467" s="56"/>
      <c r="C467" s="57"/>
      <c r="I467" s="13" t="str">
        <f>IF(COUNTA(A467:H467)=0,"",IF(OR(A467="",B467="",C467="",C467&lt;=0),"CHECK: Date, Type and positive Amount required",IF(OR(AND(B467="Income",D467="",E467&lt;&gt;"",F467&lt;&gt;"",COUNTIFS(Accounts!$A$5:$A$50,E467,Accounts!$D$5:$D$50,"Asset")=1,COUNTIFS(Categories!$A$5:$A$100,F467,Categories!$C$5:$C$100,"Income")=1),AND(B467="Expense",D467&lt;&gt;"",E467="",F467&lt;&gt;"",COUNTIF(Accounts!$A$5:$A$50,D467)=1,COUNTIFS(Categories!$A$5:$A$100,F467,Categories!$C$5:$C$100,"Expense")=1),AND(B467="Refund",D467="",E467&lt;&gt;"",F467&lt;&gt;"",COUNTIF(Accounts!$A$5:$A$50,E467)=1,COUNTIFS(Categories!$A$5:$A$100,F467,Categories!$C$5:$C$100,"Expense")=1),AND(B467="Transfer",D467&lt;&gt;"",E467&lt;&gt;"",D467&lt;&gt;E467,F467="",COUNTIF(Accounts!$A$5:$A$50,D467)=1,COUNTIF(Accounts!$A$5:$A$50,E467)=1),AND(B467="Allocation",F467="Savings &amp; Investment",OR(AND(D467&lt;&gt;"",E467="",COUNTIFS(Accounts!$A$5:$A$50,D467,Accounts!$D$5:$D$50,"Asset")=1),AND(D467="",E467&lt;&gt;"",COUNTIFS(Accounts!$A$5:$A$50,E467,Accounts!$D$5:$D$50,"Asset")=1))),AND(B467="Adjustment",F467="",OR(AND(D467&lt;&gt;"",E467="",COUNTIF(Accounts!$A$5:$A$50,D467)=1),AND(D467="",E467&lt;&gt;"",COUNTIF(Accounts!$A$5:$A$50,E467)=1)))),"OK","CHECK: Type / account / category combination")))</f>
        <v/>
      </c>
    </row>
    <row r="468" spans="1:9">
      <c r="A468" s="56"/>
      <c r="C468" s="57"/>
      <c r="I468" s="13" t="str">
        <f>IF(COUNTA(A468:H468)=0,"",IF(OR(A468="",B468="",C468="",C468&lt;=0),"CHECK: Date, Type and positive Amount required",IF(OR(AND(B468="Income",D468="",E468&lt;&gt;"",F468&lt;&gt;"",COUNTIFS(Accounts!$A$5:$A$50,E468,Accounts!$D$5:$D$50,"Asset")=1,COUNTIFS(Categories!$A$5:$A$100,F468,Categories!$C$5:$C$100,"Income")=1),AND(B468="Expense",D468&lt;&gt;"",E468="",F468&lt;&gt;"",COUNTIF(Accounts!$A$5:$A$50,D468)=1,COUNTIFS(Categories!$A$5:$A$100,F468,Categories!$C$5:$C$100,"Expense")=1),AND(B468="Refund",D468="",E468&lt;&gt;"",F468&lt;&gt;"",COUNTIF(Accounts!$A$5:$A$50,E468)=1,COUNTIFS(Categories!$A$5:$A$100,F468,Categories!$C$5:$C$100,"Expense")=1),AND(B468="Transfer",D468&lt;&gt;"",E468&lt;&gt;"",D468&lt;&gt;E468,F468="",COUNTIF(Accounts!$A$5:$A$50,D468)=1,COUNTIF(Accounts!$A$5:$A$50,E468)=1),AND(B468="Allocation",F468="Savings &amp; Investment",OR(AND(D468&lt;&gt;"",E468="",COUNTIFS(Accounts!$A$5:$A$50,D468,Accounts!$D$5:$D$50,"Asset")=1),AND(D468="",E468&lt;&gt;"",COUNTIFS(Accounts!$A$5:$A$50,E468,Accounts!$D$5:$D$50,"Asset")=1))),AND(B468="Adjustment",F468="",OR(AND(D468&lt;&gt;"",E468="",COUNTIF(Accounts!$A$5:$A$50,D468)=1),AND(D468="",E468&lt;&gt;"",COUNTIF(Accounts!$A$5:$A$50,E468)=1)))),"OK","CHECK: Type / account / category combination")))</f>
        <v/>
      </c>
    </row>
    <row r="469" spans="1:9">
      <c r="A469" s="56"/>
      <c r="C469" s="57"/>
      <c r="I469" s="13" t="str">
        <f>IF(COUNTA(A469:H469)=0,"",IF(OR(A469="",B469="",C469="",C469&lt;=0),"CHECK: Date, Type and positive Amount required",IF(OR(AND(B469="Income",D469="",E469&lt;&gt;"",F469&lt;&gt;"",COUNTIFS(Accounts!$A$5:$A$50,E469,Accounts!$D$5:$D$50,"Asset")=1,COUNTIFS(Categories!$A$5:$A$100,F469,Categories!$C$5:$C$100,"Income")=1),AND(B469="Expense",D469&lt;&gt;"",E469="",F469&lt;&gt;"",COUNTIF(Accounts!$A$5:$A$50,D469)=1,COUNTIFS(Categories!$A$5:$A$100,F469,Categories!$C$5:$C$100,"Expense")=1),AND(B469="Refund",D469="",E469&lt;&gt;"",F469&lt;&gt;"",COUNTIF(Accounts!$A$5:$A$50,E469)=1,COUNTIFS(Categories!$A$5:$A$100,F469,Categories!$C$5:$C$100,"Expense")=1),AND(B469="Transfer",D469&lt;&gt;"",E469&lt;&gt;"",D469&lt;&gt;E469,F469="",COUNTIF(Accounts!$A$5:$A$50,D469)=1,COUNTIF(Accounts!$A$5:$A$50,E469)=1),AND(B469="Allocation",F469="Savings &amp; Investment",OR(AND(D469&lt;&gt;"",E469="",COUNTIFS(Accounts!$A$5:$A$50,D469,Accounts!$D$5:$D$50,"Asset")=1),AND(D469="",E469&lt;&gt;"",COUNTIFS(Accounts!$A$5:$A$50,E469,Accounts!$D$5:$D$50,"Asset")=1))),AND(B469="Adjustment",F469="",OR(AND(D469&lt;&gt;"",E469="",COUNTIF(Accounts!$A$5:$A$50,D469)=1),AND(D469="",E469&lt;&gt;"",COUNTIF(Accounts!$A$5:$A$50,E469)=1)))),"OK","CHECK: Type / account / category combination")))</f>
        <v/>
      </c>
    </row>
    <row r="470" spans="1:9">
      <c r="A470" s="56"/>
      <c r="C470" s="57"/>
      <c r="I470" s="13" t="str">
        <f>IF(COUNTA(A470:H470)=0,"",IF(OR(A470="",B470="",C470="",C470&lt;=0),"CHECK: Date, Type and positive Amount required",IF(OR(AND(B470="Income",D470="",E470&lt;&gt;"",F470&lt;&gt;"",COUNTIFS(Accounts!$A$5:$A$50,E470,Accounts!$D$5:$D$50,"Asset")=1,COUNTIFS(Categories!$A$5:$A$100,F470,Categories!$C$5:$C$100,"Income")=1),AND(B470="Expense",D470&lt;&gt;"",E470="",F470&lt;&gt;"",COUNTIF(Accounts!$A$5:$A$50,D470)=1,COUNTIFS(Categories!$A$5:$A$100,F470,Categories!$C$5:$C$100,"Expense")=1),AND(B470="Refund",D470="",E470&lt;&gt;"",F470&lt;&gt;"",COUNTIF(Accounts!$A$5:$A$50,E470)=1,COUNTIFS(Categories!$A$5:$A$100,F470,Categories!$C$5:$C$100,"Expense")=1),AND(B470="Transfer",D470&lt;&gt;"",E470&lt;&gt;"",D470&lt;&gt;E470,F470="",COUNTIF(Accounts!$A$5:$A$50,D470)=1,COUNTIF(Accounts!$A$5:$A$50,E470)=1),AND(B470="Allocation",F470="Savings &amp; Investment",OR(AND(D470&lt;&gt;"",E470="",COUNTIFS(Accounts!$A$5:$A$50,D470,Accounts!$D$5:$D$50,"Asset")=1),AND(D470="",E470&lt;&gt;"",COUNTIFS(Accounts!$A$5:$A$50,E470,Accounts!$D$5:$D$50,"Asset")=1))),AND(B470="Adjustment",F470="",OR(AND(D470&lt;&gt;"",E470="",COUNTIF(Accounts!$A$5:$A$50,D470)=1),AND(D470="",E470&lt;&gt;"",COUNTIF(Accounts!$A$5:$A$50,E470)=1)))),"OK","CHECK: Type / account / category combination")))</f>
        <v/>
      </c>
    </row>
    <row r="471" spans="1:9">
      <c r="A471" s="56"/>
      <c r="C471" s="57"/>
      <c r="I471" s="13" t="str">
        <f>IF(COUNTA(A471:H471)=0,"",IF(OR(A471="",B471="",C471="",C471&lt;=0),"CHECK: Date, Type and positive Amount required",IF(OR(AND(B471="Income",D471="",E471&lt;&gt;"",F471&lt;&gt;"",COUNTIFS(Accounts!$A$5:$A$50,E471,Accounts!$D$5:$D$50,"Asset")=1,COUNTIFS(Categories!$A$5:$A$100,F471,Categories!$C$5:$C$100,"Income")=1),AND(B471="Expense",D471&lt;&gt;"",E471="",F471&lt;&gt;"",COUNTIF(Accounts!$A$5:$A$50,D471)=1,COUNTIFS(Categories!$A$5:$A$100,F471,Categories!$C$5:$C$100,"Expense")=1),AND(B471="Refund",D471="",E471&lt;&gt;"",F471&lt;&gt;"",COUNTIF(Accounts!$A$5:$A$50,E471)=1,COUNTIFS(Categories!$A$5:$A$100,F471,Categories!$C$5:$C$100,"Expense")=1),AND(B471="Transfer",D471&lt;&gt;"",E471&lt;&gt;"",D471&lt;&gt;E471,F471="",COUNTIF(Accounts!$A$5:$A$50,D471)=1,COUNTIF(Accounts!$A$5:$A$50,E471)=1),AND(B471="Allocation",F471="Savings &amp; Investment",OR(AND(D471&lt;&gt;"",E471="",COUNTIFS(Accounts!$A$5:$A$50,D471,Accounts!$D$5:$D$50,"Asset")=1),AND(D471="",E471&lt;&gt;"",COUNTIFS(Accounts!$A$5:$A$50,E471,Accounts!$D$5:$D$50,"Asset")=1))),AND(B471="Adjustment",F471="",OR(AND(D471&lt;&gt;"",E471="",COUNTIF(Accounts!$A$5:$A$50,D471)=1),AND(D471="",E471&lt;&gt;"",COUNTIF(Accounts!$A$5:$A$50,E471)=1)))),"OK","CHECK: Type / account / category combination")))</f>
        <v/>
      </c>
    </row>
    <row r="472" spans="1:9">
      <c r="A472" s="56"/>
      <c r="C472" s="57"/>
      <c r="I472" s="13" t="str">
        <f>IF(COUNTA(A472:H472)=0,"",IF(OR(A472="",B472="",C472="",C472&lt;=0),"CHECK: Date, Type and positive Amount required",IF(OR(AND(B472="Income",D472="",E472&lt;&gt;"",F472&lt;&gt;"",COUNTIFS(Accounts!$A$5:$A$50,E472,Accounts!$D$5:$D$50,"Asset")=1,COUNTIFS(Categories!$A$5:$A$100,F472,Categories!$C$5:$C$100,"Income")=1),AND(B472="Expense",D472&lt;&gt;"",E472="",F472&lt;&gt;"",COUNTIF(Accounts!$A$5:$A$50,D472)=1,COUNTIFS(Categories!$A$5:$A$100,F472,Categories!$C$5:$C$100,"Expense")=1),AND(B472="Refund",D472="",E472&lt;&gt;"",F472&lt;&gt;"",COUNTIF(Accounts!$A$5:$A$50,E472)=1,COUNTIFS(Categories!$A$5:$A$100,F472,Categories!$C$5:$C$100,"Expense")=1),AND(B472="Transfer",D472&lt;&gt;"",E472&lt;&gt;"",D472&lt;&gt;E472,F472="",COUNTIF(Accounts!$A$5:$A$50,D472)=1,COUNTIF(Accounts!$A$5:$A$50,E472)=1),AND(B472="Allocation",F472="Savings &amp; Investment",OR(AND(D472&lt;&gt;"",E472="",COUNTIFS(Accounts!$A$5:$A$50,D472,Accounts!$D$5:$D$50,"Asset")=1),AND(D472="",E472&lt;&gt;"",COUNTIFS(Accounts!$A$5:$A$50,E472,Accounts!$D$5:$D$50,"Asset")=1))),AND(B472="Adjustment",F472="",OR(AND(D472&lt;&gt;"",E472="",COUNTIF(Accounts!$A$5:$A$50,D472)=1),AND(D472="",E472&lt;&gt;"",COUNTIF(Accounts!$A$5:$A$50,E472)=1)))),"OK","CHECK: Type / account / category combination")))</f>
        <v/>
      </c>
    </row>
    <row r="473" spans="1:9">
      <c r="A473" s="56"/>
      <c r="C473" s="57"/>
      <c r="I473" s="13" t="str">
        <f>IF(COUNTA(A473:H473)=0,"",IF(OR(A473="",B473="",C473="",C473&lt;=0),"CHECK: Date, Type and positive Amount required",IF(OR(AND(B473="Income",D473="",E473&lt;&gt;"",F473&lt;&gt;"",COUNTIFS(Accounts!$A$5:$A$50,E473,Accounts!$D$5:$D$50,"Asset")=1,COUNTIFS(Categories!$A$5:$A$100,F473,Categories!$C$5:$C$100,"Income")=1),AND(B473="Expense",D473&lt;&gt;"",E473="",F473&lt;&gt;"",COUNTIF(Accounts!$A$5:$A$50,D473)=1,COUNTIFS(Categories!$A$5:$A$100,F473,Categories!$C$5:$C$100,"Expense")=1),AND(B473="Refund",D473="",E473&lt;&gt;"",F473&lt;&gt;"",COUNTIF(Accounts!$A$5:$A$50,E473)=1,COUNTIFS(Categories!$A$5:$A$100,F473,Categories!$C$5:$C$100,"Expense")=1),AND(B473="Transfer",D473&lt;&gt;"",E473&lt;&gt;"",D473&lt;&gt;E473,F473="",COUNTIF(Accounts!$A$5:$A$50,D473)=1,COUNTIF(Accounts!$A$5:$A$50,E473)=1),AND(B473="Allocation",F473="Savings &amp; Investment",OR(AND(D473&lt;&gt;"",E473="",COUNTIFS(Accounts!$A$5:$A$50,D473,Accounts!$D$5:$D$50,"Asset")=1),AND(D473="",E473&lt;&gt;"",COUNTIFS(Accounts!$A$5:$A$50,E473,Accounts!$D$5:$D$50,"Asset")=1))),AND(B473="Adjustment",F473="",OR(AND(D473&lt;&gt;"",E473="",COUNTIF(Accounts!$A$5:$A$50,D473)=1),AND(D473="",E473&lt;&gt;"",COUNTIF(Accounts!$A$5:$A$50,E473)=1)))),"OK","CHECK: Type / account / category combination")))</f>
        <v/>
      </c>
    </row>
    <row r="474" spans="1:9">
      <c r="A474" s="56"/>
      <c r="C474" s="57"/>
      <c r="I474" s="13" t="str">
        <f>IF(COUNTA(A474:H474)=0,"",IF(OR(A474="",B474="",C474="",C474&lt;=0),"CHECK: Date, Type and positive Amount required",IF(OR(AND(B474="Income",D474="",E474&lt;&gt;"",F474&lt;&gt;"",COUNTIFS(Accounts!$A$5:$A$50,E474,Accounts!$D$5:$D$50,"Asset")=1,COUNTIFS(Categories!$A$5:$A$100,F474,Categories!$C$5:$C$100,"Income")=1),AND(B474="Expense",D474&lt;&gt;"",E474="",F474&lt;&gt;"",COUNTIF(Accounts!$A$5:$A$50,D474)=1,COUNTIFS(Categories!$A$5:$A$100,F474,Categories!$C$5:$C$100,"Expense")=1),AND(B474="Refund",D474="",E474&lt;&gt;"",F474&lt;&gt;"",COUNTIF(Accounts!$A$5:$A$50,E474)=1,COUNTIFS(Categories!$A$5:$A$100,F474,Categories!$C$5:$C$100,"Expense")=1),AND(B474="Transfer",D474&lt;&gt;"",E474&lt;&gt;"",D474&lt;&gt;E474,F474="",COUNTIF(Accounts!$A$5:$A$50,D474)=1,COUNTIF(Accounts!$A$5:$A$50,E474)=1),AND(B474="Allocation",F474="Savings &amp; Investment",OR(AND(D474&lt;&gt;"",E474="",COUNTIFS(Accounts!$A$5:$A$50,D474,Accounts!$D$5:$D$50,"Asset")=1),AND(D474="",E474&lt;&gt;"",COUNTIFS(Accounts!$A$5:$A$50,E474,Accounts!$D$5:$D$50,"Asset")=1))),AND(B474="Adjustment",F474="",OR(AND(D474&lt;&gt;"",E474="",COUNTIF(Accounts!$A$5:$A$50,D474)=1),AND(D474="",E474&lt;&gt;"",COUNTIF(Accounts!$A$5:$A$50,E474)=1)))),"OK","CHECK: Type / account / category combination")))</f>
        <v/>
      </c>
    </row>
    <row r="475" spans="1:9">
      <c r="A475" s="56"/>
      <c r="C475" s="57"/>
      <c r="I475" s="13" t="str">
        <f>IF(COUNTA(A475:H475)=0,"",IF(OR(A475="",B475="",C475="",C475&lt;=0),"CHECK: Date, Type and positive Amount required",IF(OR(AND(B475="Income",D475="",E475&lt;&gt;"",F475&lt;&gt;"",COUNTIFS(Accounts!$A$5:$A$50,E475,Accounts!$D$5:$D$50,"Asset")=1,COUNTIFS(Categories!$A$5:$A$100,F475,Categories!$C$5:$C$100,"Income")=1),AND(B475="Expense",D475&lt;&gt;"",E475="",F475&lt;&gt;"",COUNTIF(Accounts!$A$5:$A$50,D475)=1,COUNTIFS(Categories!$A$5:$A$100,F475,Categories!$C$5:$C$100,"Expense")=1),AND(B475="Refund",D475="",E475&lt;&gt;"",F475&lt;&gt;"",COUNTIF(Accounts!$A$5:$A$50,E475)=1,COUNTIFS(Categories!$A$5:$A$100,F475,Categories!$C$5:$C$100,"Expense")=1),AND(B475="Transfer",D475&lt;&gt;"",E475&lt;&gt;"",D475&lt;&gt;E475,F475="",COUNTIF(Accounts!$A$5:$A$50,D475)=1,COUNTIF(Accounts!$A$5:$A$50,E475)=1),AND(B475="Allocation",F475="Savings &amp; Investment",OR(AND(D475&lt;&gt;"",E475="",COUNTIFS(Accounts!$A$5:$A$50,D475,Accounts!$D$5:$D$50,"Asset")=1),AND(D475="",E475&lt;&gt;"",COUNTIFS(Accounts!$A$5:$A$50,E475,Accounts!$D$5:$D$50,"Asset")=1))),AND(B475="Adjustment",F475="",OR(AND(D475&lt;&gt;"",E475="",COUNTIF(Accounts!$A$5:$A$50,D475)=1),AND(D475="",E475&lt;&gt;"",COUNTIF(Accounts!$A$5:$A$50,E475)=1)))),"OK","CHECK: Type / account / category combination")))</f>
        <v/>
      </c>
    </row>
    <row r="476" spans="1:9">
      <c r="A476" s="56"/>
      <c r="C476" s="57"/>
      <c r="I476" s="13" t="str">
        <f>IF(COUNTA(A476:H476)=0,"",IF(OR(A476="",B476="",C476="",C476&lt;=0),"CHECK: Date, Type and positive Amount required",IF(OR(AND(B476="Income",D476="",E476&lt;&gt;"",F476&lt;&gt;"",COUNTIFS(Accounts!$A$5:$A$50,E476,Accounts!$D$5:$D$50,"Asset")=1,COUNTIFS(Categories!$A$5:$A$100,F476,Categories!$C$5:$C$100,"Income")=1),AND(B476="Expense",D476&lt;&gt;"",E476="",F476&lt;&gt;"",COUNTIF(Accounts!$A$5:$A$50,D476)=1,COUNTIFS(Categories!$A$5:$A$100,F476,Categories!$C$5:$C$100,"Expense")=1),AND(B476="Refund",D476="",E476&lt;&gt;"",F476&lt;&gt;"",COUNTIF(Accounts!$A$5:$A$50,E476)=1,COUNTIFS(Categories!$A$5:$A$100,F476,Categories!$C$5:$C$100,"Expense")=1),AND(B476="Transfer",D476&lt;&gt;"",E476&lt;&gt;"",D476&lt;&gt;E476,F476="",COUNTIF(Accounts!$A$5:$A$50,D476)=1,COUNTIF(Accounts!$A$5:$A$50,E476)=1),AND(B476="Allocation",F476="Savings &amp; Investment",OR(AND(D476&lt;&gt;"",E476="",COUNTIFS(Accounts!$A$5:$A$50,D476,Accounts!$D$5:$D$50,"Asset")=1),AND(D476="",E476&lt;&gt;"",COUNTIFS(Accounts!$A$5:$A$50,E476,Accounts!$D$5:$D$50,"Asset")=1))),AND(B476="Adjustment",F476="",OR(AND(D476&lt;&gt;"",E476="",COUNTIF(Accounts!$A$5:$A$50,D476)=1),AND(D476="",E476&lt;&gt;"",COUNTIF(Accounts!$A$5:$A$50,E476)=1)))),"OK","CHECK: Type / account / category combination")))</f>
        <v/>
      </c>
    </row>
    <row r="477" spans="1:9">
      <c r="A477" s="56"/>
      <c r="C477" s="57"/>
      <c r="I477" s="13" t="str">
        <f>IF(COUNTA(A477:H477)=0,"",IF(OR(A477="",B477="",C477="",C477&lt;=0),"CHECK: Date, Type and positive Amount required",IF(OR(AND(B477="Income",D477="",E477&lt;&gt;"",F477&lt;&gt;"",COUNTIFS(Accounts!$A$5:$A$50,E477,Accounts!$D$5:$D$50,"Asset")=1,COUNTIFS(Categories!$A$5:$A$100,F477,Categories!$C$5:$C$100,"Income")=1),AND(B477="Expense",D477&lt;&gt;"",E477="",F477&lt;&gt;"",COUNTIF(Accounts!$A$5:$A$50,D477)=1,COUNTIFS(Categories!$A$5:$A$100,F477,Categories!$C$5:$C$100,"Expense")=1),AND(B477="Refund",D477="",E477&lt;&gt;"",F477&lt;&gt;"",COUNTIF(Accounts!$A$5:$A$50,E477)=1,COUNTIFS(Categories!$A$5:$A$100,F477,Categories!$C$5:$C$100,"Expense")=1),AND(B477="Transfer",D477&lt;&gt;"",E477&lt;&gt;"",D477&lt;&gt;E477,F477="",COUNTIF(Accounts!$A$5:$A$50,D477)=1,COUNTIF(Accounts!$A$5:$A$50,E477)=1),AND(B477="Allocation",F477="Savings &amp; Investment",OR(AND(D477&lt;&gt;"",E477="",COUNTIFS(Accounts!$A$5:$A$50,D477,Accounts!$D$5:$D$50,"Asset")=1),AND(D477="",E477&lt;&gt;"",COUNTIFS(Accounts!$A$5:$A$50,E477,Accounts!$D$5:$D$50,"Asset")=1))),AND(B477="Adjustment",F477="",OR(AND(D477&lt;&gt;"",E477="",COUNTIF(Accounts!$A$5:$A$50,D477)=1),AND(D477="",E477&lt;&gt;"",COUNTIF(Accounts!$A$5:$A$50,E477)=1)))),"OK","CHECK: Type / account / category combination")))</f>
        <v/>
      </c>
    </row>
    <row r="478" spans="1:9">
      <c r="A478" s="56"/>
      <c r="C478" s="57"/>
      <c r="I478" s="13" t="str">
        <f>IF(COUNTA(A478:H478)=0,"",IF(OR(A478="",B478="",C478="",C478&lt;=0),"CHECK: Date, Type and positive Amount required",IF(OR(AND(B478="Income",D478="",E478&lt;&gt;"",F478&lt;&gt;"",COUNTIFS(Accounts!$A$5:$A$50,E478,Accounts!$D$5:$D$50,"Asset")=1,COUNTIFS(Categories!$A$5:$A$100,F478,Categories!$C$5:$C$100,"Income")=1),AND(B478="Expense",D478&lt;&gt;"",E478="",F478&lt;&gt;"",COUNTIF(Accounts!$A$5:$A$50,D478)=1,COUNTIFS(Categories!$A$5:$A$100,F478,Categories!$C$5:$C$100,"Expense")=1),AND(B478="Refund",D478="",E478&lt;&gt;"",F478&lt;&gt;"",COUNTIF(Accounts!$A$5:$A$50,E478)=1,COUNTIFS(Categories!$A$5:$A$100,F478,Categories!$C$5:$C$100,"Expense")=1),AND(B478="Transfer",D478&lt;&gt;"",E478&lt;&gt;"",D478&lt;&gt;E478,F478="",COUNTIF(Accounts!$A$5:$A$50,D478)=1,COUNTIF(Accounts!$A$5:$A$50,E478)=1),AND(B478="Allocation",F478="Savings &amp; Investment",OR(AND(D478&lt;&gt;"",E478="",COUNTIFS(Accounts!$A$5:$A$50,D478,Accounts!$D$5:$D$50,"Asset")=1),AND(D478="",E478&lt;&gt;"",COUNTIFS(Accounts!$A$5:$A$50,E478,Accounts!$D$5:$D$50,"Asset")=1))),AND(B478="Adjustment",F478="",OR(AND(D478&lt;&gt;"",E478="",COUNTIF(Accounts!$A$5:$A$50,D478)=1),AND(D478="",E478&lt;&gt;"",COUNTIF(Accounts!$A$5:$A$50,E478)=1)))),"OK","CHECK: Type / account / category combination")))</f>
        <v/>
      </c>
    </row>
    <row r="479" spans="1:9">
      <c r="A479" s="56"/>
      <c r="C479" s="57"/>
      <c r="I479" s="13" t="str">
        <f>IF(COUNTA(A479:H479)=0,"",IF(OR(A479="",B479="",C479="",C479&lt;=0),"CHECK: Date, Type and positive Amount required",IF(OR(AND(B479="Income",D479="",E479&lt;&gt;"",F479&lt;&gt;"",COUNTIFS(Accounts!$A$5:$A$50,E479,Accounts!$D$5:$D$50,"Asset")=1,COUNTIFS(Categories!$A$5:$A$100,F479,Categories!$C$5:$C$100,"Income")=1),AND(B479="Expense",D479&lt;&gt;"",E479="",F479&lt;&gt;"",COUNTIF(Accounts!$A$5:$A$50,D479)=1,COUNTIFS(Categories!$A$5:$A$100,F479,Categories!$C$5:$C$100,"Expense")=1),AND(B479="Refund",D479="",E479&lt;&gt;"",F479&lt;&gt;"",COUNTIF(Accounts!$A$5:$A$50,E479)=1,COUNTIFS(Categories!$A$5:$A$100,F479,Categories!$C$5:$C$100,"Expense")=1),AND(B479="Transfer",D479&lt;&gt;"",E479&lt;&gt;"",D479&lt;&gt;E479,F479="",COUNTIF(Accounts!$A$5:$A$50,D479)=1,COUNTIF(Accounts!$A$5:$A$50,E479)=1),AND(B479="Allocation",F479="Savings &amp; Investment",OR(AND(D479&lt;&gt;"",E479="",COUNTIFS(Accounts!$A$5:$A$50,D479,Accounts!$D$5:$D$50,"Asset")=1),AND(D479="",E479&lt;&gt;"",COUNTIFS(Accounts!$A$5:$A$50,E479,Accounts!$D$5:$D$50,"Asset")=1))),AND(B479="Adjustment",F479="",OR(AND(D479&lt;&gt;"",E479="",COUNTIF(Accounts!$A$5:$A$50,D479)=1),AND(D479="",E479&lt;&gt;"",COUNTIF(Accounts!$A$5:$A$50,E479)=1)))),"OK","CHECK: Type / account / category combination")))</f>
        <v/>
      </c>
    </row>
    <row r="480" spans="1:9">
      <c r="A480" s="56"/>
      <c r="C480" s="57"/>
      <c r="I480" s="13" t="str">
        <f>IF(COUNTA(A480:H480)=0,"",IF(OR(A480="",B480="",C480="",C480&lt;=0),"CHECK: Date, Type and positive Amount required",IF(OR(AND(B480="Income",D480="",E480&lt;&gt;"",F480&lt;&gt;"",COUNTIFS(Accounts!$A$5:$A$50,E480,Accounts!$D$5:$D$50,"Asset")=1,COUNTIFS(Categories!$A$5:$A$100,F480,Categories!$C$5:$C$100,"Income")=1),AND(B480="Expense",D480&lt;&gt;"",E480="",F480&lt;&gt;"",COUNTIF(Accounts!$A$5:$A$50,D480)=1,COUNTIFS(Categories!$A$5:$A$100,F480,Categories!$C$5:$C$100,"Expense")=1),AND(B480="Refund",D480="",E480&lt;&gt;"",F480&lt;&gt;"",COUNTIF(Accounts!$A$5:$A$50,E480)=1,COUNTIFS(Categories!$A$5:$A$100,F480,Categories!$C$5:$C$100,"Expense")=1),AND(B480="Transfer",D480&lt;&gt;"",E480&lt;&gt;"",D480&lt;&gt;E480,F480="",COUNTIF(Accounts!$A$5:$A$50,D480)=1,COUNTIF(Accounts!$A$5:$A$50,E480)=1),AND(B480="Allocation",F480="Savings &amp; Investment",OR(AND(D480&lt;&gt;"",E480="",COUNTIFS(Accounts!$A$5:$A$50,D480,Accounts!$D$5:$D$50,"Asset")=1),AND(D480="",E480&lt;&gt;"",COUNTIFS(Accounts!$A$5:$A$50,E480,Accounts!$D$5:$D$50,"Asset")=1))),AND(B480="Adjustment",F480="",OR(AND(D480&lt;&gt;"",E480="",COUNTIF(Accounts!$A$5:$A$50,D480)=1),AND(D480="",E480&lt;&gt;"",COUNTIF(Accounts!$A$5:$A$50,E480)=1)))),"OK","CHECK: Type / account / category combination")))</f>
        <v/>
      </c>
    </row>
    <row r="481" spans="1:9">
      <c r="A481" s="56"/>
      <c r="C481" s="57"/>
      <c r="I481" s="13" t="str">
        <f>IF(COUNTA(A481:H481)=0,"",IF(OR(A481="",B481="",C481="",C481&lt;=0),"CHECK: Date, Type and positive Amount required",IF(OR(AND(B481="Income",D481="",E481&lt;&gt;"",F481&lt;&gt;"",COUNTIFS(Accounts!$A$5:$A$50,E481,Accounts!$D$5:$D$50,"Asset")=1,COUNTIFS(Categories!$A$5:$A$100,F481,Categories!$C$5:$C$100,"Income")=1),AND(B481="Expense",D481&lt;&gt;"",E481="",F481&lt;&gt;"",COUNTIF(Accounts!$A$5:$A$50,D481)=1,COUNTIFS(Categories!$A$5:$A$100,F481,Categories!$C$5:$C$100,"Expense")=1),AND(B481="Refund",D481="",E481&lt;&gt;"",F481&lt;&gt;"",COUNTIF(Accounts!$A$5:$A$50,E481)=1,COUNTIFS(Categories!$A$5:$A$100,F481,Categories!$C$5:$C$100,"Expense")=1),AND(B481="Transfer",D481&lt;&gt;"",E481&lt;&gt;"",D481&lt;&gt;E481,F481="",COUNTIF(Accounts!$A$5:$A$50,D481)=1,COUNTIF(Accounts!$A$5:$A$50,E481)=1),AND(B481="Allocation",F481="Savings &amp; Investment",OR(AND(D481&lt;&gt;"",E481="",COUNTIFS(Accounts!$A$5:$A$50,D481,Accounts!$D$5:$D$50,"Asset")=1),AND(D481="",E481&lt;&gt;"",COUNTIFS(Accounts!$A$5:$A$50,E481,Accounts!$D$5:$D$50,"Asset")=1))),AND(B481="Adjustment",F481="",OR(AND(D481&lt;&gt;"",E481="",COUNTIF(Accounts!$A$5:$A$50,D481)=1),AND(D481="",E481&lt;&gt;"",COUNTIF(Accounts!$A$5:$A$50,E481)=1)))),"OK","CHECK: Type / account / category combination")))</f>
        <v/>
      </c>
    </row>
    <row r="482" spans="1:9">
      <c r="A482" s="56"/>
      <c r="C482" s="57"/>
      <c r="I482" s="13" t="str">
        <f>IF(COUNTA(A482:H482)=0,"",IF(OR(A482="",B482="",C482="",C482&lt;=0),"CHECK: Date, Type and positive Amount required",IF(OR(AND(B482="Income",D482="",E482&lt;&gt;"",F482&lt;&gt;"",COUNTIFS(Accounts!$A$5:$A$50,E482,Accounts!$D$5:$D$50,"Asset")=1,COUNTIFS(Categories!$A$5:$A$100,F482,Categories!$C$5:$C$100,"Income")=1),AND(B482="Expense",D482&lt;&gt;"",E482="",F482&lt;&gt;"",COUNTIF(Accounts!$A$5:$A$50,D482)=1,COUNTIFS(Categories!$A$5:$A$100,F482,Categories!$C$5:$C$100,"Expense")=1),AND(B482="Refund",D482="",E482&lt;&gt;"",F482&lt;&gt;"",COUNTIF(Accounts!$A$5:$A$50,E482)=1,COUNTIFS(Categories!$A$5:$A$100,F482,Categories!$C$5:$C$100,"Expense")=1),AND(B482="Transfer",D482&lt;&gt;"",E482&lt;&gt;"",D482&lt;&gt;E482,F482="",COUNTIF(Accounts!$A$5:$A$50,D482)=1,COUNTIF(Accounts!$A$5:$A$50,E482)=1),AND(B482="Allocation",F482="Savings &amp; Investment",OR(AND(D482&lt;&gt;"",E482="",COUNTIFS(Accounts!$A$5:$A$50,D482,Accounts!$D$5:$D$50,"Asset")=1),AND(D482="",E482&lt;&gt;"",COUNTIFS(Accounts!$A$5:$A$50,E482,Accounts!$D$5:$D$50,"Asset")=1))),AND(B482="Adjustment",F482="",OR(AND(D482&lt;&gt;"",E482="",COUNTIF(Accounts!$A$5:$A$50,D482)=1),AND(D482="",E482&lt;&gt;"",COUNTIF(Accounts!$A$5:$A$50,E482)=1)))),"OK","CHECK: Type / account / category combination")))</f>
        <v/>
      </c>
    </row>
    <row r="483" spans="1:9">
      <c r="A483" s="56"/>
      <c r="C483" s="57"/>
      <c r="I483" s="13" t="str">
        <f>IF(COUNTA(A483:H483)=0,"",IF(OR(A483="",B483="",C483="",C483&lt;=0),"CHECK: Date, Type and positive Amount required",IF(OR(AND(B483="Income",D483="",E483&lt;&gt;"",F483&lt;&gt;"",COUNTIFS(Accounts!$A$5:$A$50,E483,Accounts!$D$5:$D$50,"Asset")=1,COUNTIFS(Categories!$A$5:$A$100,F483,Categories!$C$5:$C$100,"Income")=1),AND(B483="Expense",D483&lt;&gt;"",E483="",F483&lt;&gt;"",COUNTIF(Accounts!$A$5:$A$50,D483)=1,COUNTIFS(Categories!$A$5:$A$100,F483,Categories!$C$5:$C$100,"Expense")=1),AND(B483="Refund",D483="",E483&lt;&gt;"",F483&lt;&gt;"",COUNTIF(Accounts!$A$5:$A$50,E483)=1,COUNTIFS(Categories!$A$5:$A$100,F483,Categories!$C$5:$C$100,"Expense")=1),AND(B483="Transfer",D483&lt;&gt;"",E483&lt;&gt;"",D483&lt;&gt;E483,F483="",COUNTIF(Accounts!$A$5:$A$50,D483)=1,COUNTIF(Accounts!$A$5:$A$50,E483)=1),AND(B483="Allocation",F483="Savings &amp; Investment",OR(AND(D483&lt;&gt;"",E483="",COUNTIFS(Accounts!$A$5:$A$50,D483,Accounts!$D$5:$D$50,"Asset")=1),AND(D483="",E483&lt;&gt;"",COUNTIFS(Accounts!$A$5:$A$50,E483,Accounts!$D$5:$D$50,"Asset")=1))),AND(B483="Adjustment",F483="",OR(AND(D483&lt;&gt;"",E483="",COUNTIF(Accounts!$A$5:$A$50,D483)=1),AND(D483="",E483&lt;&gt;"",COUNTIF(Accounts!$A$5:$A$50,E483)=1)))),"OK","CHECK: Type / account / category combination")))</f>
        <v/>
      </c>
    </row>
    <row r="484" spans="1:9">
      <c r="A484" s="56"/>
      <c r="C484" s="57"/>
      <c r="I484" s="13" t="str">
        <f>IF(COUNTA(A484:H484)=0,"",IF(OR(A484="",B484="",C484="",C484&lt;=0),"CHECK: Date, Type and positive Amount required",IF(OR(AND(B484="Income",D484="",E484&lt;&gt;"",F484&lt;&gt;"",COUNTIFS(Accounts!$A$5:$A$50,E484,Accounts!$D$5:$D$50,"Asset")=1,COUNTIFS(Categories!$A$5:$A$100,F484,Categories!$C$5:$C$100,"Income")=1),AND(B484="Expense",D484&lt;&gt;"",E484="",F484&lt;&gt;"",COUNTIF(Accounts!$A$5:$A$50,D484)=1,COUNTIFS(Categories!$A$5:$A$100,F484,Categories!$C$5:$C$100,"Expense")=1),AND(B484="Refund",D484="",E484&lt;&gt;"",F484&lt;&gt;"",COUNTIF(Accounts!$A$5:$A$50,E484)=1,COUNTIFS(Categories!$A$5:$A$100,F484,Categories!$C$5:$C$100,"Expense")=1),AND(B484="Transfer",D484&lt;&gt;"",E484&lt;&gt;"",D484&lt;&gt;E484,F484="",COUNTIF(Accounts!$A$5:$A$50,D484)=1,COUNTIF(Accounts!$A$5:$A$50,E484)=1),AND(B484="Allocation",F484="Savings &amp; Investment",OR(AND(D484&lt;&gt;"",E484="",COUNTIFS(Accounts!$A$5:$A$50,D484,Accounts!$D$5:$D$50,"Asset")=1),AND(D484="",E484&lt;&gt;"",COUNTIFS(Accounts!$A$5:$A$50,E484,Accounts!$D$5:$D$50,"Asset")=1))),AND(B484="Adjustment",F484="",OR(AND(D484&lt;&gt;"",E484="",COUNTIF(Accounts!$A$5:$A$50,D484)=1),AND(D484="",E484&lt;&gt;"",COUNTIF(Accounts!$A$5:$A$50,E484)=1)))),"OK","CHECK: Type / account / category combination")))</f>
        <v/>
      </c>
    </row>
    <row r="485" spans="1:9">
      <c r="A485" s="56"/>
      <c r="C485" s="57"/>
      <c r="I485" s="13" t="str">
        <f>IF(COUNTA(A485:H485)=0,"",IF(OR(A485="",B485="",C485="",C485&lt;=0),"CHECK: Date, Type and positive Amount required",IF(OR(AND(B485="Income",D485="",E485&lt;&gt;"",F485&lt;&gt;"",COUNTIFS(Accounts!$A$5:$A$50,E485,Accounts!$D$5:$D$50,"Asset")=1,COUNTIFS(Categories!$A$5:$A$100,F485,Categories!$C$5:$C$100,"Income")=1),AND(B485="Expense",D485&lt;&gt;"",E485="",F485&lt;&gt;"",COUNTIF(Accounts!$A$5:$A$50,D485)=1,COUNTIFS(Categories!$A$5:$A$100,F485,Categories!$C$5:$C$100,"Expense")=1),AND(B485="Refund",D485="",E485&lt;&gt;"",F485&lt;&gt;"",COUNTIF(Accounts!$A$5:$A$50,E485)=1,COUNTIFS(Categories!$A$5:$A$100,F485,Categories!$C$5:$C$100,"Expense")=1),AND(B485="Transfer",D485&lt;&gt;"",E485&lt;&gt;"",D485&lt;&gt;E485,F485="",COUNTIF(Accounts!$A$5:$A$50,D485)=1,COUNTIF(Accounts!$A$5:$A$50,E485)=1),AND(B485="Allocation",F485="Savings &amp; Investment",OR(AND(D485&lt;&gt;"",E485="",COUNTIFS(Accounts!$A$5:$A$50,D485,Accounts!$D$5:$D$50,"Asset")=1),AND(D485="",E485&lt;&gt;"",COUNTIFS(Accounts!$A$5:$A$50,E485,Accounts!$D$5:$D$50,"Asset")=1))),AND(B485="Adjustment",F485="",OR(AND(D485&lt;&gt;"",E485="",COUNTIF(Accounts!$A$5:$A$50,D485)=1),AND(D485="",E485&lt;&gt;"",COUNTIF(Accounts!$A$5:$A$50,E485)=1)))),"OK","CHECK: Type / account / category combination")))</f>
        <v/>
      </c>
    </row>
    <row r="486" spans="1:9">
      <c r="A486" s="56"/>
      <c r="C486" s="57"/>
      <c r="I486" s="13" t="str">
        <f>IF(COUNTA(A486:H486)=0,"",IF(OR(A486="",B486="",C486="",C486&lt;=0),"CHECK: Date, Type and positive Amount required",IF(OR(AND(B486="Income",D486="",E486&lt;&gt;"",F486&lt;&gt;"",COUNTIFS(Accounts!$A$5:$A$50,E486,Accounts!$D$5:$D$50,"Asset")=1,COUNTIFS(Categories!$A$5:$A$100,F486,Categories!$C$5:$C$100,"Income")=1),AND(B486="Expense",D486&lt;&gt;"",E486="",F486&lt;&gt;"",COUNTIF(Accounts!$A$5:$A$50,D486)=1,COUNTIFS(Categories!$A$5:$A$100,F486,Categories!$C$5:$C$100,"Expense")=1),AND(B486="Refund",D486="",E486&lt;&gt;"",F486&lt;&gt;"",COUNTIF(Accounts!$A$5:$A$50,E486)=1,COUNTIFS(Categories!$A$5:$A$100,F486,Categories!$C$5:$C$100,"Expense")=1),AND(B486="Transfer",D486&lt;&gt;"",E486&lt;&gt;"",D486&lt;&gt;E486,F486="",COUNTIF(Accounts!$A$5:$A$50,D486)=1,COUNTIF(Accounts!$A$5:$A$50,E486)=1),AND(B486="Allocation",F486="Savings &amp; Investment",OR(AND(D486&lt;&gt;"",E486="",COUNTIFS(Accounts!$A$5:$A$50,D486,Accounts!$D$5:$D$50,"Asset")=1),AND(D486="",E486&lt;&gt;"",COUNTIFS(Accounts!$A$5:$A$50,E486,Accounts!$D$5:$D$50,"Asset")=1))),AND(B486="Adjustment",F486="",OR(AND(D486&lt;&gt;"",E486="",COUNTIF(Accounts!$A$5:$A$50,D486)=1),AND(D486="",E486&lt;&gt;"",COUNTIF(Accounts!$A$5:$A$50,E486)=1)))),"OK","CHECK: Type / account / category combination")))</f>
        <v/>
      </c>
    </row>
    <row r="487" spans="1:9">
      <c r="A487" s="56"/>
      <c r="C487" s="57"/>
      <c r="I487" s="13" t="str">
        <f>IF(COUNTA(A487:H487)=0,"",IF(OR(A487="",B487="",C487="",C487&lt;=0),"CHECK: Date, Type and positive Amount required",IF(OR(AND(B487="Income",D487="",E487&lt;&gt;"",F487&lt;&gt;"",COUNTIFS(Accounts!$A$5:$A$50,E487,Accounts!$D$5:$D$50,"Asset")=1,COUNTIFS(Categories!$A$5:$A$100,F487,Categories!$C$5:$C$100,"Income")=1),AND(B487="Expense",D487&lt;&gt;"",E487="",F487&lt;&gt;"",COUNTIF(Accounts!$A$5:$A$50,D487)=1,COUNTIFS(Categories!$A$5:$A$100,F487,Categories!$C$5:$C$100,"Expense")=1),AND(B487="Refund",D487="",E487&lt;&gt;"",F487&lt;&gt;"",COUNTIF(Accounts!$A$5:$A$50,E487)=1,COUNTIFS(Categories!$A$5:$A$100,F487,Categories!$C$5:$C$100,"Expense")=1),AND(B487="Transfer",D487&lt;&gt;"",E487&lt;&gt;"",D487&lt;&gt;E487,F487="",COUNTIF(Accounts!$A$5:$A$50,D487)=1,COUNTIF(Accounts!$A$5:$A$50,E487)=1),AND(B487="Allocation",F487="Savings &amp; Investment",OR(AND(D487&lt;&gt;"",E487="",COUNTIFS(Accounts!$A$5:$A$50,D487,Accounts!$D$5:$D$50,"Asset")=1),AND(D487="",E487&lt;&gt;"",COUNTIFS(Accounts!$A$5:$A$50,E487,Accounts!$D$5:$D$50,"Asset")=1))),AND(B487="Adjustment",F487="",OR(AND(D487&lt;&gt;"",E487="",COUNTIF(Accounts!$A$5:$A$50,D487)=1),AND(D487="",E487&lt;&gt;"",COUNTIF(Accounts!$A$5:$A$50,E487)=1)))),"OK","CHECK: Type / account / category combination")))</f>
        <v/>
      </c>
    </row>
    <row r="488" spans="1:9">
      <c r="A488" s="56"/>
      <c r="C488" s="57"/>
      <c r="I488" s="13" t="str">
        <f>IF(COUNTA(A488:H488)=0,"",IF(OR(A488="",B488="",C488="",C488&lt;=0),"CHECK: Date, Type and positive Amount required",IF(OR(AND(B488="Income",D488="",E488&lt;&gt;"",F488&lt;&gt;"",COUNTIFS(Accounts!$A$5:$A$50,E488,Accounts!$D$5:$D$50,"Asset")=1,COUNTIFS(Categories!$A$5:$A$100,F488,Categories!$C$5:$C$100,"Income")=1),AND(B488="Expense",D488&lt;&gt;"",E488="",F488&lt;&gt;"",COUNTIF(Accounts!$A$5:$A$50,D488)=1,COUNTIFS(Categories!$A$5:$A$100,F488,Categories!$C$5:$C$100,"Expense")=1),AND(B488="Refund",D488="",E488&lt;&gt;"",F488&lt;&gt;"",COUNTIF(Accounts!$A$5:$A$50,E488)=1,COUNTIFS(Categories!$A$5:$A$100,F488,Categories!$C$5:$C$100,"Expense")=1),AND(B488="Transfer",D488&lt;&gt;"",E488&lt;&gt;"",D488&lt;&gt;E488,F488="",COUNTIF(Accounts!$A$5:$A$50,D488)=1,COUNTIF(Accounts!$A$5:$A$50,E488)=1),AND(B488="Allocation",F488="Savings &amp; Investment",OR(AND(D488&lt;&gt;"",E488="",COUNTIFS(Accounts!$A$5:$A$50,D488,Accounts!$D$5:$D$50,"Asset")=1),AND(D488="",E488&lt;&gt;"",COUNTIFS(Accounts!$A$5:$A$50,E488,Accounts!$D$5:$D$50,"Asset")=1))),AND(B488="Adjustment",F488="",OR(AND(D488&lt;&gt;"",E488="",COUNTIF(Accounts!$A$5:$A$50,D488)=1),AND(D488="",E488&lt;&gt;"",COUNTIF(Accounts!$A$5:$A$50,E488)=1)))),"OK","CHECK: Type / account / category combination")))</f>
        <v/>
      </c>
    </row>
    <row r="489" spans="1:9">
      <c r="A489" s="56"/>
      <c r="C489" s="57"/>
      <c r="I489" s="13" t="str">
        <f>IF(COUNTA(A489:H489)=0,"",IF(OR(A489="",B489="",C489="",C489&lt;=0),"CHECK: Date, Type and positive Amount required",IF(OR(AND(B489="Income",D489="",E489&lt;&gt;"",F489&lt;&gt;"",COUNTIFS(Accounts!$A$5:$A$50,E489,Accounts!$D$5:$D$50,"Asset")=1,COUNTIFS(Categories!$A$5:$A$100,F489,Categories!$C$5:$C$100,"Income")=1),AND(B489="Expense",D489&lt;&gt;"",E489="",F489&lt;&gt;"",COUNTIF(Accounts!$A$5:$A$50,D489)=1,COUNTIFS(Categories!$A$5:$A$100,F489,Categories!$C$5:$C$100,"Expense")=1),AND(B489="Refund",D489="",E489&lt;&gt;"",F489&lt;&gt;"",COUNTIF(Accounts!$A$5:$A$50,E489)=1,COUNTIFS(Categories!$A$5:$A$100,F489,Categories!$C$5:$C$100,"Expense")=1),AND(B489="Transfer",D489&lt;&gt;"",E489&lt;&gt;"",D489&lt;&gt;E489,F489="",COUNTIF(Accounts!$A$5:$A$50,D489)=1,COUNTIF(Accounts!$A$5:$A$50,E489)=1),AND(B489="Allocation",F489="Savings &amp; Investment",OR(AND(D489&lt;&gt;"",E489="",COUNTIFS(Accounts!$A$5:$A$50,D489,Accounts!$D$5:$D$50,"Asset")=1),AND(D489="",E489&lt;&gt;"",COUNTIFS(Accounts!$A$5:$A$50,E489,Accounts!$D$5:$D$50,"Asset")=1))),AND(B489="Adjustment",F489="",OR(AND(D489&lt;&gt;"",E489="",COUNTIF(Accounts!$A$5:$A$50,D489)=1),AND(D489="",E489&lt;&gt;"",COUNTIF(Accounts!$A$5:$A$50,E489)=1)))),"OK","CHECK: Type / account / category combination")))</f>
        <v/>
      </c>
    </row>
    <row r="490" spans="1:9">
      <c r="A490" s="56"/>
      <c r="C490" s="57"/>
      <c r="I490" s="13" t="str">
        <f>IF(COUNTA(A490:H490)=0,"",IF(OR(A490="",B490="",C490="",C490&lt;=0),"CHECK: Date, Type and positive Amount required",IF(OR(AND(B490="Income",D490="",E490&lt;&gt;"",F490&lt;&gt;"",COUNTIFS(Accounts!$A$5:$A$50,E490,Accounts!$D$5:$D$50,"Asset")=1,COUNTIFS(Categories!$A$5:$A$100,F490,Categories!$C$5:$C$100,"Income")=1),AND(B490="Expense",D490&lt;&gt;"",E490="",F490&lt;&gt;"",COUNTIF(Accounts!$A$5:$A$50,D490)=1,COUNTIFS(Categories!$A$5:$A$100,F490,Categories!$C$5:$C$100,"Expense")=1),AND(B490="Refund",D490="",E490&lt;&gt;"",F490&lt;&gt;"",COUNTIF(Accounts!$A$5:$A$50,E490)=1,COUNTIFS(Categories!$A$5:$A$100,F490,Categories!$C$5:$C$100,"Expense")=1),AND(B490="Transfer",D490&lt;&gt;"",E490&lt;&gt;"",D490&lt;&gt;E490,F490="",COUNTIF(Accounts!$A$5:$A$50,D490)=1,COUNTIF(Accounts!$A$5:$A$50,E490)=1),AND(B490="Allocation",F490="Savings &amp; Investment",OR(AND(D490&lt;&gt;"",E490="",COUNTIFS(Accounts!$A$5:$A$50,D490,Accounts!$D$5:$D$50,"Asset")=1),AND(D490="",E490&lt;&gt;"",COUNTIFS(Accounts!$A$5:$A$50,E490,Accounts!$D$5:$D$50,"Asset")=1))),AND(B490="Adjustment",F490="",OR(AND(D490&lt;&gt;"",E490="",COUNTIF(Accounts!$A$5:$A$50,D490)=1),AND(D490="",E490&lt;&gt;"",COUNTIF(Accounts!$A$5:$A$50,E490)=1)))),"OK","CHECK: Type / account / category combination")))</f>
        <v/>
      </c>
    </row>
    <row r="491" spans="1:9">
      <c r="A491" s="56"/>
      <c r="C491" s="57"/>
      <c r="I491" s="13" t="str">
        <f>IF(COUNTA(A491:H491)=0,"",IF(OR(A491="",B491="",C491="",C491&lt;=0),"CHECK: Date, Type and positive Amount required",IF(OR(AND(B491="Income",D491="",E491&lt;&gt;"",F491&lt;&gt;"",COUNTIFS(Accounts!$A$5:$A$50,E491,Accounts!$D$5:$D$50,"Asset")=1,COUNTIFS(Categories!$A$5:$A$100,F491,Categories!$C$5:$C$100,"Income")=1),AND(B491="Expense",D491&lt;&gt;"",E491="",F491&lt;&gt;"",COUNTIF(Accounts!$A$5:$A$50,D491)=1,COUNTIFS(Categories!$A$5:$A$100,F491,Categories!$C$5:$C$100,"Expense")=1),AND(B491="Refund",D491="",E491&lt;&gt;"",F491&lt;&gt;"",COUNTIF(Accounts!$A$5:$A$50,E491)=1,COUNTIFS(Categories!$A$5:$A$100,F491,Categories!$C$5:$C$100,"Expense")=1),AND(B491="Transfer",D491&lt;&gt;"",E491&lt;&gt;"",D491&lt;&gt;E491,F491="",COUNTIF(Accounts!$A$5:$A$50,D491)=1,COUNTIF(Accounts!$A$5:$A$50,E491)=1),AND(B491="Allocation",F491="Savings &amp; Investment",OR(AND(D491&lt;&gt;"",E491="",COUNTIFS(Accounts!$A$5:$A$50,D491,Accounts!$D$5:$D$50,"Asset")=1),AND(D491="",E491&lt;&gt;"",COUNTIFS(Accounts!$A$5:$A$50,E491,Accounts!$D$5:$D$50,"Asset")=1))),AND(B491="Adjustment",F491="",OR(AND(D491&lt;&gt;"",E491="",COUNTIF(Accounts!$A$5:$A$50,D491)=1),AND(D491="",E491&lt;&gt;"",COUNTIF(Accounts!$A$5:$A$50,E491)=1)))),"OK","CHECK: Type / account / category combination")))</f>
        <v/>
      </c>
    </row>
    <row r="492" spans="1:9">
      <c r="A492" s="56"/>
      <c r="C492" s="57"/>
      <c r="I492" s="13" t="str">
        <f>IF(COUNTA(A492:H492)=0,"",IF(OR(A492="",B492="",C492="",C492&lt;=0),"CHECK: Date, Type and positive Amount required",IF(OR(AND(B492="Income",D492="",E492&lt;&gt;"",F492&lt;&gt;"",COUNTIFS(Accounts!$A$5:$A$50,E492,Accounts!$D$5:$D$50,"Asset")=1,COUNTIFS(Categories!$A$5:$A$100,F492,Categories!$C$5:$C$100,"Income")=1),AND(B492="Expense",D492&lt;&gt;"",E492="",F492&lt;&gt;"",COUNTIF(Accounts!$A$5:$A$50,D492)=1,COUNTIFS(Categories!$A$5:$A$100,F492,Categories!$C$5:$C$100,"Expense")=1),AND(B492="Refund",D492="",E492&lt;&gt;"",F492&lt;&gt;"",COUNTIF(Accounts!$A$5:$A$50,E492)=1,COUNTIFS(Categories!$A$5:$A$100,F492,Categories!$C$5:$C$100,"Expense")=1),AND(B492="Transfer",D492&lt;&gt;"",E492&lt;&gt;"",D492&lt;&gt;E492,F492="",COUNTIF(Accounts!$A$5:$A$50,D492)=1,COUNTIF(Accounts!$A$5:$A$50,E492)=1),AND(B492="Allocation",F492="Savings &amp; Investment",OR(AND(D492&lt;&gt;"",E492="",COUNTIFS(Accounts!$A$5:$A$50,D492,Accounts!$D$5:$D$50,"Asset")=1),AND(D492="",E492&lt;&gt;"",COUNTIFS(Accounts!$A$5:$A$50,E492,Accounts!$D$5:$D$50,"Asset")=1))),AND(B492="Adjustment",F492="",OR(AND(D492&lt;&gt;"",E492="",COUNTIF(Accounts!$A$5:$A$50,D492)=1),AND(D492="",E492&lt;&gt;"",COUNTIF(Accounts!$A$5:$A$50,E492)=1)))),"OK","CHECK: Type / account / category combination")))</f>
        <v/>
      </c>
    </row>
    <row r="493" spans="1:9">
      <c r="A493" s="56"/>
      <c r="C493" s="57"/>
      <c r="I493" s="13" t="str">
        <f>IF(COUNTA(A493:H493)=0,"",IF(OR(A493="",B493="",C493="",C493&lt;=0),"CHECK: Date, Type and positive Amount required",IF(OR(AND(B493="Income",D493="",E493&lt;&gt;"",F493&lt;&gt;"",COUNTIFS(Accounts!$A$5:$A$50,E493,Accounts!$D$5:$D$50,"Asset")=1,COUNTIFS(Categories!$A$5:$A$100,F493,Categories!$C$5:$C$100,"Income")=1),AND(B493="Expense",D493&lt;&gt;"",E493="",F493&lt;&gt;"",COUNTIF(Accounts!$A$5:$A$50,D493)=1,COUNTIFS(Categories!$A$5:$A$100,F493,Categories!$C$5:$C$100,"Expense")=1),AND(B493="Refund",D493="",E493&lt;&gt;"",F493&lt;&gt;"",COUNTIF(Accounts!$A$5:$A$50,E493)=1,COUNTIFS(Categories!$A$5:$A$100,F493,Categories!$C$5:$C$100,"Expense")=1),AND(B493="Transfer",D493&lt;&gt;"",E493&lt;&gt;"",D493&lt;&gt;E493,F493="",COUNTIF(Accounts!$A$5:$A$50,D493)=1,COUNTIF(Accounts!$A$5:$A$50,E493)=1),AND(B493="Allocation",F493="Savings &amp; Investment",OR(AND(D493&lt;&gt;"",E493="",COUNTIFS(Accounts!$A$5:$A$50,D493,Accounts!$D$5:$D$50,"Asset")=1),AND(D493="",E493&lt;&gt;"",COUNTIFS(Accounts!$A$5:$A$50,E493,Accounts!$D$5:$D$50,"Asset")=1))),AND(B493="Adjustment",F493="",OR(AND(D493&lt;&gt;"",E493="",COUNTIF(Accounts!$A$5:$A$50,D493)=1),AND(D493="",E493&lt;&gt;"",COUNTIF(Accounts!$A$5:$A$50,E493)=1)))),"OK","CHECK: Type / account / category combination")))</f>
        <v/>
      </c>
    </row>
    <row r="494" spans="1:9">
      <c r="A494" s="56"/>
      <c r="C494" s="57"/>
      <c r="I494" s="13" t="str">
        <f>IF(COUNTA(A494:H494)=0,"",IF(OR(A494="",B494="",C494="",C494&lt;=0),"CHECK: Date, Type and positive Amount required",IF(OR(AND(B494="Income",D494="",E494&lt;&gt;"",F494&lt;&gt;"",COUNTIFS(Accounts!$A$5:$A$50,E494,Accounts!$D$5:$D$50,"Asset")=1,COUNTIFS(Categories!$A$5:$A$100,F494,Categories!$C$5:$C$100,"Income")=1),AND(B494="Expense",D494&lt;&gt;"",E494="",F494&lt;&gt;"",COUNTIF(Accounts!$A$5:$A$50,D494)=1,COUNTIFS(Categories!$A$5:$A$100,F494,Categories!$C$5:$C$100,"Expense")=1),AND(B494="Refund",D494="",E494&lt;&gt;"",F494&lt;&gt;"",COUNTIF(Accounts!$A$5:$A$50,E494)=1,COUNTIFS(Categories!$A$5:$A$100,F494,Categories!$C$5:$C$100,"Expense")=1),AND(B494="Transfer",D494&lt;&gt;"",E494&lt;&gt;"",D494&lt;&gt;E494,F494="",COUNTIF(Accounts!$A$5:$A$50,D494)=1,COUNTIF(Accounts!$A$5:$A$50,E494)=1),AND(B494="Allocation",F494="Savings &amp; Investment",OR(AND(D494&lt;&gt;"",E494="",COUNTIFS(Accounts!$A$5:$A$50,D494,Accounts!$D$5:$D$50,"Asset")=1),AND(D494="",E494&lt;&gt;"",COUNTIFS(Accounts!$A$5:$A$50,E494,Accounts!$D$5:$D$50,"Asset")=1))),AND(B494="Adjustment",F494="",OR(AND(D494&lt;&gt;"",E494="",COUNTIF(Accounts!$A$5:$A$50,D494)=1),AND(D494="",E494&lt;&gt;"",COUNTIF(Accounts!$A$5:$A$50,E494)=1)))),"OK","CHECK: Type / account / category combination")))</f>
        <v/>
      </c>
    </row>
    <row r="495" spans="1:9">
      <c r="A495" s="56"/>
      <c r="C495" s="57"/>
      <c r="I495" s="13" t="str">
        <f>IF(COUNTA(A495:H495)=0,"",IF(OR(A495="",B495="",C495="",C495&lt;=0),"CHECK: Date, Type and positive Amount required",IF(OR(AND(B495="Income",D495="",E495&lt;&gt;"",F495&lt;&gt;"",COUNTIFS(Accounts!$A$5:$A$50,E495,Accounts!$D$5:$D$50,"Asset")=1,COUNTIFS(Categories!$A$5:$A$100,F495,Categories!$C$5:$C$100,"Income")=1),AND(B495="Expense",D495&lt;&gt;"",E495="",F495&lt;&gt;"",COUNTIF(Accounts!$A$5:$A$50,D495)=1,COUNTIFS(Categories!$A$5:$A$100,F495,Categories!$C$5:$C$100,"Expense")=1),AND(B495="Refund",D495="",E495&lt;&gt;"",F495&lt;&gt;"",COUNTIF(Accounts!$A$5:$A$50,E495)=1,COUNTIFS(Categories!$A$5:$A$100,F495,Categories!$C$5:$C$100,"Expense")=1),AND(B495="Transfer",D495&lt;&gt;"",E495&lt;&gt;"",D495&lt;&gt;E495,F495="",COUNTIF(Accounts!$A$5:$A$50,D495)=1,COUNTIF(Accounts!$A$5:$A$50,E495)=1),AND(B495="Allocation",F495="Savings &amp; Investment",OR(AND(D495&lt;&gt;"",E495="",COUNTIFS(Accounts!$A$5:$A$50,D495,Accounts!$D$5:$D$50,"Asset")=1),AND(D495="",E495&lt;&gt;"",COUNTIFS(Accounts!$A$5:$A$50,E495,Accounts!$D$5:$D$50,"Asset")=1))),AND(B495="Adjustment",F495="",OR(AND(D495&lt;&gt;"",E495="",COUNTIF(Accounts!$A$5:$A$50,D495)=1),AND(D495="",E495&lt;&gt;"",COUNTIF(Accounts!$A$5:$A$50,E495)=1)))),"OK","CHECK: Type / account / category combination")))</f>
        <v/>
      </c>
    </row>
    <row r="496" spans="1:9">
      <c r="A496" s="56"/>
      <c r="C496" s="57"/>
      <c r="I496" s="13" t="str">
        <f>IF(COUNTA(A496:H496)=0,"",IF(OR(A496="",B496="",C496="",C496&lt;=0),"CHECK: Date, Type and positive Amount required",IF(OR(AND(B496="Income",D496="",E496&lt;&gt;"",F496&lt;&gt;"",COUNTIFS(Accounts!$A$5:$A$50,E496,Accounts!$D$5:$D$50,"Asset")=1,COUNTIFS(Categories!$A$5:$A$100,F496,Categories!$C$5:$C$100,"Income")=1),AND(B496="Expense",D496&lt;&gt;"",E496="",F496&lt;&gt;"",COUNTIF(Accounts!$A$5:$A$50,D496)=1,COUNTIFS(Categories!$A$5:$A$100,F496,Categories!$C$5:$C$100,"Expense")=1),AND(B496="Refund",D496="",E496&lt;&gt;"",F496&lt;&gt;"",COUNTIF(Accounts!$A$5:$A$50,E496)=1,COUNTIFS(Categories!$A$5:$A$100,F496,Categories!$C$5:$C$100,"Expense")=1),AND(B496="Transfer",D496&lt;&gt;"",E496&lt;&gt;"",D496&lt;&gt;E496,F496="",COUNTIF(Accounts!$A$5:$A$50,D496)=1,COUNTIF(Accounts!$A$5:$A$50,E496)=1),AND(B496="Allocation",F496="Savings &amp; Investment",OR(AND(D496&lt;&gt;"",E496="",COUNTIFS(Accounts!$A$5:$A$50,D496,Accounts!$D$5:$D$50,"Asset")=1),AND(D496="",E496&lt;&gt;"",COUNTIFS(Accounts!$A$5:$A$50,E496,Accounts!$D$5:$D$50,"Asset")=1))),AND(B496="Adjustment",F496="",OR(AND(D496&lt;&gt;"",E496="",COUNTIF(Accounts!$A$5:$A$50,D496)=1),AND(D496="",E496&lt;&gt;"",COUNTIF(Accounts!$A$5:$A$50,E496)=1)))),"OK","CHECK: Type / account / category combination")))</f>
        <v/>
      </c>
    </row>
    <row r="497" spans="1:9">
      <c r="A497" s="56"/>
      <c r="C497" s="57"/>
      <c r="I497" s="13" t="str">
        <f>IF(COUNTA(A497:H497)=0,"",IF(OR(A497="",B497="",C497="",C497&lt;=0),"CHECK: Date, Type and positive Amount required",IF(OR(AND(B497="Income",D497="",E497&lt;&gt;"",F497&lt;&gt;"",COUNTIFS(Accounts!$A$5:$A$50,E497,Accounts!$D$5:$D$50,"Asset")=1,COUNTIFS(Categories!$A$5:$A$100,F497,Categories!$C$5:$C$100,"Income")=1),AND(B497="Expense",D497&lt;&gt;"",E497="",F497&lt;&gt;"",COUNTIF(Accounts!$A$5:$A$50,D497)=1,COUNTIFS(Categories!$A$5:$A$100,F497,Categories!$C$5:$C$100,"Expense")=1),AND(B497="Refund",D497="",E497&lt;&gt;"",F497&lt;&gt;"",COUNTIF(Accounts!$A$5:$A$50,E497)=1,COUNTIFS(Categories!$A$5:$A$100,F497,Categories!$C$5:$C$100,"Expense")=1),AND(B497="Transfer",D497&lt;&gt;"",E497&lt;&gt;"",D497&lt;&gt;E497,F497="",COUNTIF(Accounts!$A$5:$A$50,D497)=1,COUNTIF(Accounts!$A$5:$A$50,E497)=1),AND(B497="Allocation",F497="Savings &amp; Investment",OR(AND(D497&lt;&gt;"",E497="",COUNTIFS(Accounts!$A$5:$A$50,D497,Accounts!$D$5:$D$50,"Asset")=1),AND(D497="",E497&lt;&gt;"",COUNTIFS(Accounts!$A$5:$A$50,E497,Accounts!$D$5:$D$50,"Asset")=1))),AND(B497="Adjustment",F497="",OR(AND(D497&lt;&gt;"",E497="",COUNTIF(Accounts!$A$5:$A$50,D497)=1),AND(D497="",E497&lt;&gt;"",COUNTIF(Accounts!$A$5:$A$50,E497)=1)))),"OK","CHECK: Type / account / category combination")))</f>
        <v/>
      </c>
    </row>
    <row r="498" spans="1:9">
      <c r="A498" s="56"/>
      <c r="C498" s="57"/>
      <c r="I498" s="13" t="str">
        <f>IF(COUNTA(A498:H498)=0,"",IF(OR(A498="",B498="",C498="",C498&lt;=0),"CHECK: Date, Type and positive Amount required",IF(OR(AND(B498="Income",D498="",E498&lt;&gt;"",F498&lt;&gt;"",COUNTIFS(Accounts!$A$5:$A$50,E498,Accounts!$D$5:$D$50,"Asset")=1,COUNTIFS(Categories!$A$5:$A$100,F498,Categories!$C$5:$C$100,"Income")=1),AND(B498="Expense",D498&lt;&gt;"",E498="",F498&lt;&gt;"",COUNTIF(Accounts!$A$5:$A$50,D498)=1,COUNTIFS(Categories!$A$5:$A$100,F498,Categories!$C$5:$C$100,"Expense")=1),AND(B498="Refund",D498="",E498&lt;&gt;"",F498&lt;&gt;"",COUNTIF(Accounts!$A$5:$A$50,E498)=1,COUNTIFS(Categories!$A$5:$A$100,F498,Categories!$C$5:$C$100,"Expense")=1),AND(B498="Transfer",D498&lt;&gt;"",E498&lt;&gt;"",D498&lt;&gt;E498,F498="",COUNTIF(Accounts!$A$5:$A$50,D498)=1,COUNTIF(Accounts!$A$5:$A$50,E498)=1),AND(B498="Allocation",F498="Savings &amp; Investment",OR(AND(D498&lt;&gt;"",E498="",COUNTIFS(Accounts!$A$5:$A$50,D498,Accounts!$D$5:$D$50,"Asset")=1),AND(D498="",E498&lt;&gt;"",COUNTIFS(Accounts!$A$5:$A$50,E498,Accounts!$D$5:$D$50,"Asset")=1))),AND(B498="Adjustment",F498="",OR(AND(D498&lt;&gt;"",E498="",COUNTIF(Accounts!$A$5:$A$50,D498)=1),AND(D498="",E498&lt;&gt;"",COUNTIF(Accounts!$A$5:$A$50,E498)=1)))),"OK","CHECK: Type / account / category combination")))</f>
        <v/>
      </c>
    </row>
    <row r="499" spans="1:9">
      <c r="A499" s="56"/>
      <c r="C499" s="57"/>
      <c r="I499" s="58" t="str">
        <f>IF(COUNTA(A499:H499)=0,"",IF(OR(A499="",B499="",C499="",C499&lt;=0),"CHECK: Date, Type and positive Amount required",IF(OR(AND(B499="Income",D499="",E499&lt;&gt;"",F499&lt;&gt;"",COUNTIFS(Accounts!$A$5:$A$50,E499,Accounts!$D$5:$D$50,"Asset")=1,COUNTIFS(Categories!$A$5:$A$100,F499,Categories!$C$5:$C$100,"Income")=1),AND(B499="Expense",D499&lt;&gt;"",E499="",F499&lt;&gt;"",COUNTIF(Accounts!$A$5:$A$50,D499)=1,COUNTIFS(Categories!$A$5:$A$100,F499,Categories!$C$5:$C$100,"Expense")=1),AND(B499="Refund",D499="",E499&lt;&gt;"",F499&lt;&gt;"",COUNTIF(Accounts!$A$5:$A$50,E499)=1,COUNTIFS(Categories!$A$5:$A$100,F499,Categories!$C$5:$C$100,"Expense")=1),AND(B499="Transfer",D499&lt;&gt;"",E499&lt;&gt;"",D499&lt;&gt;E499,F499="",COUNTIF(Accounts!$A$5:$A$50,D499)=1,COUNTIF(Accounts!$A$5:$A$50,E499)=1),AND(B499="Allocation",F499="Savings &amp; Investment",OR(AND(D499&lt;&gt;"",E499="",COUNTIFS(Accounts!$A$5:$A$50,D499,Accounts!$D$5:$D$50,"Asset")=1),AND(D499="",E499&lt;&gt;"",COUNTIFS(Accounts!$A$5:$A$50,E499,Accounts!$D$5:$D$50,"Asset")=1))),AND(B499="Adjustment",F499="",OR(AND(D499&lt;&gt;"",E499="",COUNTIF(Accounts!$A$5:$A$50,D499)=1),AND(D499="",E499&lt;&gt;"",COUNTIF(Accounts!$A$5:$A$50,E499)=1)))),"OK","CHECK: Type / account / category combination")))</f>
        <v/>
      </c>
    </row>
    <row r="500" spans="1:9">
      <c r="A500" s="56"/>
      <c r="C500" s="57"/>
    </row>
    <row r="501" spans="1:9">
      <c r="A501" s="56"/>
      <c r="C501" s="57"/>
    </row>
  </sheetData>
  <mergeCells count="2">
    <mergeCell ref="A1:I1"/>
    <mergeCell ref="A2:I2"/>
  </mergeCells>
  <conditionalFormatting sqref="I5:I499">
    <cfRule type="containsText" dxfId="7" priority="1" operator="containsText" text="CHECK"/>
    <cfRule type="containsText" dxfId="6" priority="2" operator="containsText" text="OK"/>
  </conditionalFormatting>
  <dataValidations count="3">
    <dataValidation type="whole" operator="greaterThan" sqref="C5:C499" xr:uid="{00000000-0002-0000-0100-000002000000}">
      <formula1>0</formula1>
    </dataValidation>
    <dataValidation type="list" sqref="B5:B499" xr:uid="{00000000-0002-0000-0100-000001000000}">
      <formula1>"Income,Expense,Refund,Transfer,Allocation,Adjustment"</formula1>
    </dataValidation>
    <dataValidation type="date" operator="greaterThanOrEqual" sqref="A5:A499" xr:uid="{00000000-0002-0000-0100-000000000000}">
      <formula1>DATE(2026,9,1)</formula1>
    </dataValidation>
  </dataValidations>
  <pageMargins left="0.7" right="0.7" top="0.75" bottom="0.75" header="0.3" footer="0.3"/>
  <pageSetup orientation="portrait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4000000}">
          <x14:formula1>
            <xm:f>_Lists!$B$2:$B$97</xm:f>
          </x14:formula1>
          <xm:sqref>F5:F499</xm:sqref>
        </x14:dataValidation>
        <x14:dataValidation type="list" xr:uid="{00000000-0002-0000-0100-000003000000}">
          <x14:formula1>
            <xm:f>_Lists!$A$2:$A$47</xm:f>
          </x14:formula1>
          <xm:sqref>D5:E499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1930-F6E7-48E9-832E-2E18484DC5AB}">
  <dimension ref="A1:I9"/>
  <sheetViews>
    <sheetView showGridLines="0" workbookViewId="0">
      <selection activeCell="H14" sqref="H14"/>
    </sheetView>
  </sheetViews>
  <sheetFormatPr defaultRowHeight="13.8"/>
  <cols>
    <col min="1" max="1" width="23" customWidth="1"/>
    <col min="2" max="2" width="15" customWidth="1"/>
    <col min="3" max="4" width="16" customWidth="1"/>
    <col min="5" max="5" width="18" customWidth="1"/>
    <col min="6" max="6" width="15" customWidth="1"/>
    <col min="7" max="7" width="16" customWidth="1"/>
    <col min="8" max="8" width="11" customWidth="1"/>
    <col min="9" max="9" width="18" customWidth="1"/>
  </cols>
  <sheetData>
    <row r="1" spans="1:9" ht="34.049999999999997" customHeight="1">
      <c r="A1" s="59" t="s">
        <v>11</v>
      </c>
      <c r="B1" s="59" t="s">
        <v>11</v>
      </c>
      <c r="C1" s="59" t="s">
        <v>11</v>
      </c>
      <c r="D1" s="59" t="s">
        <v>11</v>
      </c>
      <c r="E1" s="59" t="s">
        <v>11</v>
      </c>
      <c r="F1" s="59" t="s">
        <v>11</v>
      </c>
      <c r="G1" s="59" t="s">
        <v>11</v>
      </c>
      <c r="H1" s="59" t="s">
        <v>11</v>
      </c>
      <c r="I1" s="59" t="s">
        <v>11</v>
      </c>
    </row>
    <row r="2" spans="1:9" ht="24" customHeight="1">
      <c r="A2" s="60" t="s">
        <v>195</v>
      </c>
      <c r="B2" s="60" t="s">
        <v>87</v>
      </c>
      <c r="C2" s="60" t="s">
        <v>87</v>
      </c>
      <c r="D2" s="60" t="s">
        <v>87</v>
      </c>
      <c r="E2" s="60" t="s">
        <v>87</v>
      </c>
      <c r="F2" s="60" t="s">
        <v>87</v>
      </c>
      <c r="G2" s="60" t="s">
        <v>87</v>
      </c>
      <c r="H2" s="60" t="s">
        <v>87</v>
      </c>
      <c r="I2" s="60" t="s">
        <v>87</v>
      </c>
    </row>
    <row r="4" spans="1:9" ht="28.05" customHeight="1">
      <c r="A4" s="5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7" t="s">
        <v>96</v>
      </c>
    </row>
    <row r="5" spans="1:9">
      <c r="A5" s="9" t="s">
        <v>97</v>
      </c>
      <c r="B5" s="9" t="s">
        <v>164</v>
      </c>
      <c r="C5" s="9" t="s">
        <v>97</v>
      </c>
      <c r="D5" s="9" t="s">
        <v>31</v>
      </c>
      <c r="E5" s="18">
        <v>1000000</v>
      </c>
      <c r="F5" s="14">
        <v>46266</v>
      </c>
      <c r="G5" s="16"/>
      <c r="H5" s="9" t="s">
        <v>32</v>
      </c>
      <c r="I5" s="20">
        <f>IF(COUNT($E5)=0,"",$E5+IF($D5="Asset",SUMIFS(Transactions!$C$5:$C$2001,Transactions!$I$5:$I$2001,"OK",Transactions!$I$5:$I$2001,"OK",Transactions!$I$5:$I$2001,"OK",Transactions!$I$5:$I$2001,"OK",Transactions!$I$5:$I$2001,"OK",Transactions!$E$5:$E$2001,$A5,Transactions!$A$5:$A$2001,"&gt;="&amp;$F5)-SUMIFS(Transactions!$C$5:$C$2001,Transactions!$I$5:$I$2001,"OK",Transactions!$I$5:$I$2001,"OK",Transactions!$I$5:$I$2001,"OK",Transactions!$I$5:$I$2001,"OK",Transactions!$I$5:$I$2001,"OK",Transactions!$D$5:$D$2001,$A5,Transactions!$A$5:$A$2001,"&gt;="&amp;$F5),SUMIFS(Transactions!$C$5:$C$2001,Transactions!$I$5:$I$2001,"OK",Transactions!$I$5:$I$2001,"OK",Transactions!$I$5:$I$2001,"OK",Transactions!$I$5:$I$2001,"OK",Transactions!$I$5:$I$2001,"OK",Transactions!$D$5:$D$2001,$A5,Transactions!$A$5:$A$2001,"&gt;="&amp;$F5)-SUMIFS(Transactions!$C$5:$C$2001,Transactions!$I$5:$I$2001,"OK",Transactions!$I$5:$I$2001,"OK",Transactions!$I$5:$I$2001,"OK",Transactions!$I$5:$I$2001,"OK",Transactions!$I$5:$I$2001,"OK",Transactions!$E$5:$E$2001,$A5,Transactions!$A$5:$A$2001,"&gt;="&amp;$F5)))</f>
        <v>3130000</v>
      </c>
    </row>
    <row r="6" spans="1:9">
      <c r="A6" s="10" t="s">
        <v>165</v>
      </c>
      <c r="B6" s="10" t="s">
        <v>166</v>
      </c>
      <c r="C6" s="10" t="s">
        <v>98</v>
      </c>
      <c r="D6" s="10" t="s">
        <v>31</v>
      </c>
      <c r="E6" s="19">
        <v>100000</v>
      </c>
      <c r="F6" s="15">
        <v>46266</v>
      </c>
      <c r="G6" s="17"/>
      <c r="H6" s="10" t="s">
        <v>32</v>
      </c>
      <c r="I6" s="21">
        <f>IF(COUNT($E6)=0,"",$E6+IF($D6="Asset",SUMIFS(Transactions!$C$5:$C$2001,Transactions!$I$5:$I$2001,"OK",Transactions!$I$5:$I$2001,"OK",Transactions!$I$5:$I$2001,"OK",Transactions!$I$5:$I$2001,"OK",Transactions!$I$5:$I$2001,"OK",Transactions!$E$5:$E$2001,$A6,Transactions!$A$5:$A$2001,"&gt;="&amp;$F6)-SUMIFS(Transactions!$C$5:$C$2001,Transactions!$I$5:$I$2001,"OK",Transactions!$I$5:$I$2001,"OK",Transactions!$I$5:$I$2001,"OK",Transactions!$I$5:$I$2001,"OK",Transactions!$I$5:$I$2001,"OK",Transactions!$D$5:$D$2001,$A6,Transactions!$A$5:$A$2001,"&gt;="&amp;$F6),SUMIFS(Transactions!$C$5:$C$2001,Transactions!$I$5:$I$2001,"OK",Transactions!$I$5:$I$2001,"OK",Transactions!$I$5:$I$2001,"OK",Transactions!$I$5:$I$2001,"OK",Transactions!$I$5:$I$2001,"OK",Transactions!$D$5:$D$2001,$A6,Transactions!$A$5:$A$2001,"&gt;="&amp;$F6)-SUMIFS(Transactions!$C$5:$C$2001,Transactions!$I$5:$I$2001,"OK",Transactions!$I$5:$I$2001,"OK",Transactions!$I$5:$I$2001,"OK",Transactions!$I$5:$I$2001,"OK",Transactions!$I$5:$I$2001,"OK",Transactions!$E$5:$E$2001,$A6,Transactions!$A$5:$A$2001,"&gt;="&amp;$F6)))</f>
        <v>155000</v>
      </c>
    </row>
    <row r="7" spans="1:9">
      <c r="A7" s="10" t="s">
        <v>99</v>
      </c>
      <c r="B7" s="10" t="s">
        <v>164</v>
      </c>
      <c r="C7" s="10" t="s">
        <v>99</v>
      </c>
      <c r="D7" s="10" t="s">
        <v>100</v>
      </c>
      <c r="E7" s="19">
        <v>0</v>
      </c>
      <c r="F7" s="15">
        <v>46266</v>
      </c>
      <c r="G7" s="17">
        <v>2000000</v>
      </c>
      <c r="H7" s="10" t="s">
        <v>32</v>
      </c>
      <c r="I7" s="21">
        <f>IF(COUNT($E7)=0,"",$E7+IF($D7="Asset",SUMIFS(Transactions!$C$5:$C$2001,Transactions!$I$5:$I$2001,"OK",Transactions!$I$5:$I$2001,"OK",Transactions!$I$5:$I$2001,"OK",Transactions!$I$5:$I$2001,"OK",Transactions!$I$5:$I$2001,"OK",Transactions!$E$5:$E$2001,$A7,Transactions!$A$5:$A$2001,"&gt;="&amp;$F7)-SUMIFS(Transactions!$C$5:$C$2001,Transactions!$I$5:$I$2001,"OK",Transactions!$I$5:$I$2001,"OK",Transactions!$I$5:$I$2001,"OK",Transactions!$I$5:$I$2001,"OK",Transactions!$I$5:$I$2001,"OK",Transactions!$D$5:$D$2001,$A7,Transactions!$A$5:$A$2001,"&gt;="&amp;$F7),SUMIFS(Transactions!$C$5:$C$2001,Transactions!$I$5:$I$2001,"OK",Transactions!$I$5:$I$2001,"OK",Transactions!$I$5:$I$2001,"OK",Transactions!$I$5:$I$2001,"OK",Transactions!$I$5:$I$2001,"OK",Transactions!$D$5:$D$2001,$A7,Transactions!$A$5:$A$2001,"&gt;="&amp;$F7)-SUMIFS(Transactions!$C$5:$C$2001,Transactions!$I$5:$I$2001,"OK",Transactions!$I$5:$I$2001,"OK",Transactions!$I$5:$I$2001,"OK",Transactions!$I$5:$I$2001,"OK",Transactions!$I$5:$I$2001,"OK",Transactions!$E$5:$E$2001,$A7,Transactions!$A$5:$A$2001,"&gt;="&amp;$F7)))</f>
        <v>120000</v>
      </c>
    </row>
    <row r="8" spans="1:9">
      <c r="A8" s="10"/>
      <c r="B8" s="10"/>
      <c r="C8" s="10"/>
      <c r="D8" s="10"/>
      <c r="E8" s="19"/>
      <c r="F8" s="15"/>
      <c r="G8" s="17"/>
      <c r="H8" s="10"/>
      <c r="I8" s="21" t="str">
        <f>IF(COUNT($E8)=0,"",$E8+IF($D8="Asset",SUMIFS(Transactions!$C$5:$C$2001,Transactions!$I$5:$I$2001,"OK",Transactions!$I$5:$I$2001,"OK",Transactions!$I$5:$I$2001,"OK",Transactions!$I$5:$I$2001,"OK",Transactions!$I$5:$I$2001,"OK",Transactions!$E$5:$E$2001,$A8,Transactions!$A$5:$A$2001,"&gt;="&amp;$F8)-SUMIFS(Transactions!$C$5:$C$2001,Transactions!$I$5:$I$2001,"OK",Transactions!$I$5:$I$2001,"OK",Transactions!$I$5:$I$2001,"OK",Transactions!$I$5:$I$2001,"OK",Transactions!$I$5:$I$2001,"OK",Transactions!$D$5:$D$2001,$A8,Transactions!$A$5:$A$2001,"&gt;="&amp;$F8),SUMIFS(Transactions!$C$5:$C$2001,Transactions!$I$5:$I$2001,"OK",Transactions!$I$5:$I$2001,"OK",Transactions!$I$5:$I$2001,"OK",Transactions!$I$5:$I$2001,"OK",Transactions!$I$5:$I$2001,"OK",Transactions!$D$5:$D$2001,$A8,Transactions!$A$5:$A$2001,"&gt;="&amp;$F8)-SUMIFS(Transactions!$C$5:$C$2001,Transactions!$I$5:$I$2001,"OK",Transactions!$I$5:$I$2001,"OK",Transactions!$I$5:$I$2001,"OK",Transactions!$I$5:$I$2001,"OK",Transactions!$I$5:$I$2001,"OK",Transactions!$E$5:$E$2001,$A8,Transactions!$A$5:$A$2001,"&gt;="&amp;$F8)))</f>
        <v/>
      </c>
    </row>
    <row r="9" spans="1:9">
      <c r="A9" s="10"/>
      <c r="B9" s="10"/>
      <c r="C9" s="10"/>
      <c r="D9" s="10"/>
      <c r="E9" s="19"/>
      <c r="F9" s="15"/>
      <c r="G9" s="17"/>
      <c r="H9" s="10"/>
      <c r="I9" s="22" t="str">
        <f>IF(COUNT($E9)=0,"",$E9+IF($D9="Asset",SUMIFS(Transactions!$C$5:$C$2001,Transactions!$I$5:$I$2001,"OK",Transactions!$I$5:$I$2001,"OK",Transactions!$I$5:$I$2001,"OK",Transactions!$I$5:$I$2001,"OK",Transactions!$I$5:$I$2001,"OK",Transactions!$E$5:$E$2001,$A9,Transactions!$A$5:$A$2001,"&gt;="&amp;$F9)-SUMIFS(Transactions!$C$5:$C$2001,Transactions!$I$5:$I$2001,"OK",Transactions!$I$5:$I$2001,"OK",Transactions!$I$5:$I$2001,"OK",Transactions!$I$5:$I$2001,"OK",Transactions!$I$5:$I$2001,"OK",Transactions!$D$5:$D$2001,$A9,Transactions!$A$5:$A$2001,"&gt;="&amp;$F9),SUMIFS(Transactions!$C$5:$C$2001,Transactions!$I$5:$I$2001,"OK",Transactions!$I$5:$I$2001,"OK",Transactions!$I$5:$I$2001,"OK",Transactions!$I$5:$I$2001,"OK",Transactions!$I$5:$I$2001,"OK",Transactions!$D$5:$D$2001,$A9,Transactions!$A$5:$A$2001,"&gt;="&amp;$F9)-SUMIFS(Transactions!$C$5:$C$2001,Transactions!$I$5:$I$2001,"OK",Transactions!$I$5:$I$2001,"OK",Transactions!$I$5:$I$2001,"OK",Transactions!$I$5:$I$2001,"OK",Transactions!$I$5:$I$2001,"OK",Transactions!$E$5:$E$2001,$A9,Transactions!$A$5:$A$2001,"&gt;="&amp;$F9)))</f>
        <v/>
      </c>
    </row>
  </sheetData>
  <mergeCells count="2">
    <mergeCell ref="A1:I1"/>
    <mergeCell ref="A2:I2"/>
  </mergeCells>
  <dataValidations count="4">
    <dataValidation type="list" sqref="H5:H9" xr:uid="{00000000-0002-0000-0200-000004000000}">
      <formula1>"Yes,No"</formula1>
    </dataValidation>
    <dataValidation type="whole" operator="greaterThanOrEqual" sqref="E5:E9 G5:G9" xr:uid="{00000000-0002-0000-0200-000002000000}">
      <formula1>0</formula1>
    </dataValidation>
    <dataValidation type="list" sqref="D5:D9" xr:uid="{00000000-0002-0000-0200-000001000000}">
      <formula1>"Asset,Liability"</formula1>
    </dataValidation>
    <dataValidation type="list" sqref="C5:C9" xr:uid="{00000000-0002-0000-0200-000000000000}">
      <formula1>"Bank,E-wallet,Credit Card,Pay-later,Cash"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0BE8-5B95-46D0-91FA-C5363D8B9A86}">
  <dimension ref="A1:F20"/>
  <sheetViews>
    <sheetView showGridLines="0" workbookViewId="0">
      <selection activeCell="H16" sqref="H16"/>
    </sheetView>
  </sheetViews>
  <sheetFormatPr defaultRowHeight="13.8"/>
  <cols>
    <col min="1" max="1" width="28" customWidth="1"/>
    <col min="2" max="2" width="19" customWidth="1"/>
    <col min="3" max="3" width="16" customWidth="1"/>
    <col min="4" max="5" width="17" customWidth="1"/>
    <col min="6" max="6" width="11" customWidth="1"/>
  </cols>
  <sheetData>
    <row r="1" spans="1:6" ht="34.049999999999997" customHeight="1">
      <c r="A1" s="59" t="s">
        <v>16</v>
      </c>
      <c r="B1" s="59" t="s">
        <v>16</v>
      </c>
      <c r="C1" s="59" t="s">
        <v>16</v>
      </c>
      <c r="D1" s="59" t="s">
        <v>16</v>
      </c>
      <c r="E1" s="59" t="s">
        <v>16</v>
      </c>
      <c r="F1" s="59" t="s">
        <v>16</v>
      </c>
    </row>
    <row r="2" spans="1:6" ht="24" customHeight="1">
      <c r="A2" s="60" t="s">
        <v>101</v>
      </c>
      <c r="B2" s="60" t="s">
        <v>101</v>
      </c>
      <c r="C2" s="60" t="s">
        <v>101</v>
      </c>
      <c r="D2" s="60" t="s">
        <v>101</v>
      </c>
      <c r="E2" s="60" t="s">
        <v>101</v>
      </c>
      <c r="F2" s="60" t="s">
        <v>101</v>
      </c>
    </row>
    <row r="4" spans="1:6" ht="28.05" customHeight="1">
      <c r="A4" s="5" t="s">
        <v>102</v>
      </c>
      <c r="B4" s="6" t="s">
        <v>103</v>
      </c>
      <c r="C4" s="6" t="s">
        <v>104</v>
      </c>
      <c r="D4" s="6" t="s">
        <v>105</v>
      </c>
      <c r="E4" s="6" t="s">
        <v>106</v>
      </c>
      <c r="F4" s="7" t="s">
        <v>95</v>
      </c>
    </row>
    <row r="5" spans="1:6">
      <c r="A5" s="9" t="s">
        <v>63</v>
      </c>
      <c r="B5" s="9" t="s">
        <v>29</v>
      </c>
      <c r="C5" s="9" t="s">
        <v>29</v>
      </c>
      <c r="D5" s="9" t="s">
        <v>107</v>
      </c>
      <c r="E5" s="9" t="s">
        <v>107</v>
      </c>
      <c r="F5" s="9" t="s">
        <v>32</v>
      </c>
    </row>
    <row r="6" spans="1:6">
      <c r="A6" s="10" t="s">
        <v>108</v>
      </c>
      <c r="B6" s="10" t="s">
        <v>29</v>
      </c>
      <c r="C6" s="10" t="s">
        <v>29</v>
      </c>
      <c r="D6" s="10" t="s">
        <v>107</v>
      </c>
      <c r="E6" s="10" t="s">
        <v>107</v>
      </c>
      <c r="F6" s="10" t="s">
        <v>32</v>
      </c>
    </row>
    <row r="7" spans="1:6">
      <c r="A7" s="10" t="s">
        <v>64</v>
      </c>
      <c r="B7" s="10" t="s">
        <v>109</v>
      </c>
      <c r="C7" s="10" t="s">
        <v>36</v>
      </c>
      <c r="D7" s="10" t="s">
        <v>110</v>
      </c>
      <c r="E7" s="10" t="s">
        <v>111</v>
      </c>
      <c r="F7" s="10" t="s">
        <v>32</v>
      </c>
    </row>
    <row r="8" spans="1:6">
      <c r="A8" s="10" t="s">
        <v>112</v>
      </c>
      <c r="B8" s="10" t="s">
        <v>109</v>
      </c>
      <c r="C8" s="10" t="s">
        <v>36</v>
      </c>
      <c r="D8" s="10" t="s">
        <v>113</v>
      </c>
      <c r="E8" s="10" t="s">
        <v>111</v>
      </c>
      <c r="F8" s="10" t="s">
        <v>32</v>
      </c>
    </row>
    <row r="9" spans="1:6">
      <c r="A9" s="10" t="s">
        <v>114</v>
      </c>
      <c r="B9" s="10" t="s">
        <v>114</v>
      </c>
      <c r="C9" s="10" t="s">
        <v>36</v>
      </c>
      <c r="D9" s="10" t="s">
        <v>110</v>
      </c>
      <c r="E9" s="10" t="s">
        <v>111</v>
      </c>
      <c r="F9" s="10" t="s">
        <v>32</v>
      </c>
    </row>
    <row r="10" spans="1:6">
      <c r="A10" s="10" t="s">
        <v>115</v>
      </c>
      <c r="B10" s="10" t="s">
        <v>115</v>
      </c>
      <c r="C10" s="10" t="s">
        <v>36</v>
      </c>
      <c r="D10" s="10" t="s">
        <v>110</v>
      </c>
      <c r="E10" s="10" t="s">
        <v>116</v>
      </c>
      <c r="F10" s="10" t="s">
        <v>32</v>
      </c>
    </row>
    <row r="11" spans="1:6">
      <c r="A11" s="10" t="s">
        <v>117</v>
      </c>
      <c r="B11" s="10" t="s">
        <v>115</v>
      </c>
      <c r="C11" s="10" t="s">
        <v>36</v>
      </c>
      <c r="D11" s="10" t="s">
        <v>110</v>
      </c>
      <c r="E11" s="10" t="s">
        <v>111</v>
      </c>
      <c r="F11" s="10" t="s">
        <v>32</v>
      </c>
    </row>
    <row r="12" spans="1:6">
      <c r="A12" s="10" t="s">
        <v>118</v>
      </c>
      <c r="B12" s="10" t="s">
        <v>119</v>
      </c>
      <c r="C12" s="10" t="s">
        <v>36</v>
      </c>
      <c r="D12" s="10" t="s">
        <v>110</v>
      </c>
      <c r="E12" s="10" t="s">
        <v>111</v>
      </c>
      <c r="F12" s="10" t="s">
        <v>32</v>
      </c>
    </row>
    <row r="13" spans="1:6">
      <c r="A13" s="10" t="s">
        <v>120</v>
      </c>
      <c r="B13" s="10" t="s">
        <v>120</v>
      </c>
      <c r="C13" s="10" t="s">
        <v>36</v>
      </c>
      <c r="D13" s="10" t="s">
        <v>110</v>
      </c>
      <c r="E13" s="10" t="s">
        <v>111</v>
      </c>
      <c r="F13" s="10" t="s">
        <v>32</v>
      </c>
    </row>
    <row r="14" spans="1:6">
      <c r="A14" s="10" t="s">
        <v>66</v>
      </c>
      <c r="B14" s="10" t="s">
        <v>121</v>
      </c>
      <c r="C14" s="10" t="s">
        <v>36</v>
      </c>
      <c r="D14" s="10" t="s">
        <v>113</v>
      </c>
      <c r="E14" s="10" t="s">
        <v>111</v>
      </c>
      <c r="F14" s="10" t="s">
        <v>32</v>
      </c>
    </row>
    <row r="15" spans="1:6">
      <c r="A15" s="10" t="s">
        <v>122</v>
      </c>
      <c r="B15" s="10" t="s">
        <v>121</v>
      </c>
      <c r="C15" s="10" t="s">
        <v>36</v>
      </c>
      <c r="D15" s="10" t="s">
        <v>113</v>
      </c>
      <c r="E15" s="10" t="s">
        <v>111</v>
      </c>
      <c r="F15" s="10" t="s">
        <v>32</v>
      </c>
    </row>
    <row r="16" spans="1:6">
      <c r="A16" s="10" t="s">
        <v>123</v>
      </c>
      <c r="B16" s="10" t="s">
        <v>121</v>
      </c>
      <c r="C16" s="10" t="s">
        <v>36</v>
      </c>
      <c r="D16" s="10" t="s">
        <v>113</v>
      </c>
      <c r="E16" s="10" t="s">
        <v>116</v>
      </c>
      <c r="F16" s="10" t="s">
        <v>32</v>
      </c>
    </row>
    <row r="17" spans="1:6">
      <c r="A17" s="10" t="s">
        <v>124</v>
      </c>
      <c r="B17" s="10" t="s">
        <v>125</v>
      </c>
      <c r="C17" s="10" t="s">
        <v>36</v>
      </c>
      <c r="D17" s="10" t="s">
        <v>110</v>
      </c>
      <c r="E17" s="10" t="s">
        <v>111</v>
      </c>
      <c r="F17" s="10" t="s">
        <v>32</v>
      </c>
    </row>
    <row r="18" spans="1:6">
      <c r="A18" s="10" t="s">
        <v>126</v>
      </c>
      <c r="B18" s="10" t="s">
        <v>127</v>
      </c>
      <c r="C18" s="10" t="s">
        <v>36</v>
      </c>
      <c r="D18" s="10" t="s">
        <v>110</v>
      </c>
      <c r="E18" s="10" t="s">
        <v>111</v>
      </c>
      <c r="F18" s="10" t="s">
        <v>32</v>
      </c>
    </row>
    <row r="19" spans="1:6">
      <c r="A19" s="10" t="s">
        <v>128</v>
      </c>
      <c r="B19" s="10" t="s">
        <v>129</v>
      </c>
      <c r="C19" s="10" t="s">
        <v>36</v>
      </c>
      <c r="D19" s="10" t="s">
        <v>107</v>
      </c>
      <c r="E19" s="10" t="s">
        <v>111</v>
      </c>
      <c r="F19" s="10" t="s">
        <v>32</v>
      </c>
    </row>
    <row r="20" spans="1:6">
      <c r="A20" s="10" t="s">
        <v>50</v>
      </c>
      <c r="B20" s="10" t="s">
        <v>130</v>
      </c>
      <c r="C20" s="10" t="s">
        <v>49</v>
      </c>
      <c r="D20" s="10" t="s">
        <v>107</v>
      </c>
      <c r="E20" s="10" t="s">
        <v>107</v>
      </c>
      <c r="F20" s="10" t="s">
        <v>32</v>
      </c>
    </row>
  </sheetData>
  <mergeCells count="2">
    <mergeCell ref="A1:F1"/>
    <mergeCell ref="A2:F2"/>
  </mergeCells>
  <dataValidations count="4">
    <dataValidation type="list" sqref="F5:F20" xr:uid="{00000000-0002-0000-0300-000003000000}">
      <formula1>"Yes,No"</formula1>
    </dataValidation>
    <dataValidation type="list" sqref="E5:E20" xr:uid="{00000000-0002-0000-0300-000002000000}">
      <formula1>"Fixed,Variable,N/A"</formula1>
    </dataValidation>
    <dataValidation type="list" sqref="D5:D20" xr:uid="{00000000-0002-0000-0300-000001000000}">
      <formula1>"Need,Want,N/A"</formula1>
    </dataValidation>
    <dataValidation type="list" sqref="C5:C20" xr:uid="{00000000-0002-0000-0300-000000000000}">
      <formula1>"Income,Expense,Allocation"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160D-992A-43F5-A332-3C2D31E0581E}">
  <dimension ref="A1:C27"/>
  <sheetViews>
    <sheetView showGridLines="0" workbookViewId="0">
      <selection activeCell="C6" sqref="C6"/>
    </sheetView>
  </sheetViews>
  <sheetFormatPr defaultRowHeight="13.8"/>
  <cols>
    <col min="1" max="1" width="16" customWidth="1"/>
    <col min="2" max="2" width="29" customWidth="1"/>
    <col min="3" max="3" width="20" customWidth="1"/>
  </cols>
  <sheetData>
    <row r="1" spans="1:3" ht="34.049999999999997" customHeight="1">
      <c r="A1" s="59" t="s">
        <v>19</v>
      </c>
      <c r="B1" s="59" t="s">
        <v>19</v>
      </c>
      <c r="C1" s="59" t="s">
        <v>19</v>
      </c>
    </row>
    <row r="2" spans="1:3" ht="24" customHeight="1">
      <c r="A2" s="60" t="s">
        <v>131</v>
      </c>
      <c r="B2" s="60" t="s">
        <v>131</v>
      </c>
      <c r="C2" s="60" t="s">
        <v>131</v>
      </c>
    </row>
    <row r="4" spans="1:3" ht="28.05" customHeight="1">
      <c r="A4" s="5" t="s">
        <v>132</v>
      </c>
      <c r="B4" s="6" t="s">
        <v>24</v>
      </c>
      <c r="C4" s="7" t="s">
        <v>133</v>
      </c>
    </row>
    <row r="5" spans="1:3">
      <c r="A5" s="23">
        <v>46266</v>
      </c>
      <c r="B5" s="9" t="s">
        <v>64</v>
      </c>
      <c r="C5" s="16">
        <v>600000</v>
      </c>
    </row>
    <row r="6" spans="1:3">
      <c r="A6" s="23">
        <v>46266</v>
      </c>
      <c r="B6" s="10" t="s">
        <v>66</v>
      </c>
      <c r="C6" s="17">
        <v>250000</v>
      </c>
    </row>
    <row r="7" spans="1:3">
      <c r="A7" s="23">
        <v>46266</v>
      </c>
      <c r="B7" s="10" t="s">
        <v>126</v>
      </c>
      <c r="C7" s="17">
        <v>50000</v>
      </c>
    </row>
    <row r="8" spans="1:3">
      <c r="A8" s="23">
        <v>46266</v>
      </c>
      <c r="B8" s="10" t="s">
        <v>50</v>
      </c>
      <c r="C8" s="17">
        <v>500000</v>
      </c>
    </row>
    <row r="9" spans="1:3">
      <c r="A9" s="23"/>
      <c r="B9" s="10"/>
      <c r="C9" s="17"/>
    </row>
    <row r="10" spans="1:3">
      <c r="A10" s="23"/>
      <c r="B10" s="10"/>
      <c r="C10" s="17"/>
    </row>
    <row r="11" spans="1:3">
      <c r="A11" s="23"/>
      <c r="B11" s="10"/>
      <c r="C11" s="17"/>
    </row>
    <row r="12" spans="1:3">
      <c r="A12" s="23"/>
      <c r="B12" s="10"/>
      <c r="C12" s="17"/>
    </row>
    <row r="13" spans="1:3">
      <c r="A13" s="23"/>
      <c r="B13" s="10"/>
      <c r="C13" s="17"/>
    </row>
    <row r="14" spans="1:3">
      <c r="A14" s="23"/>
      <c r="B14" s="10"/>
      <c r="C14" s="17"/>
    </row>
    <row r="15" spans="1:3">
      <c r="A15" s="23"/>
      <c r="B15" s="10"/>
      <c r="C15" s="17"/>
    </row>
    <row r="16" spans="1:3">
      <c r="A16" s="23"/>
      <c r="B16" s="27"/>
      <c r="C16" s="28"/>
    </row>
    <row r="17" spans="1:3">
      <c r="A17" s="23"/>
      <c r="B17" s="10"/>
      <c r="C17" s="17"/>
    </row>
    <row r="18" spans="1:3" ht="14.4" thickBot="1">
      <c r="A18" s="25"/>
      <c r="B18" s="27"/>
      <c r="C18" s="28"/>
    </row>
    <row r="19" spans="1:3" ht="14.4" thickTop="1">
      <c r="A19" s="53"/>
      <c r="B19" s="54"/>
      <c r="C19" s="55"/>
    </row>
    <row r="20" spans="1:3">
      <c r="A20" s="23"/>
      <c r="B20" s="9"/>
      <c r="C20" s="16"/>
    </row>
    <row r="21" spans="1:3">
      <c r="A21" s="24"/>
      <c r="B21" s="10"/>
      <c r="C21" s="17"/>
    </row>
    <row r="22" spans="1:3">
      <c r="A22" s="24"/>
      <c r="B22" s="10"/>
      <c r="C22" s="17"/>
    </row>
    <row r="23" spans="1:3">
      <c r="A23" s="24"/>
      <c r="B23" s="10"/>
      <c r="C23" s="17"/>
    </row>
    <row r="24" spans="1:3">
      <c r="A24" s="24"/>
      <c r="B24" s="10"/>
      <c r="C24" s="17"/>
    </row>
    <row r="25" spans="1:3">
      <c r="A25" s="24"/>
      <c r="B25" s="10"/>
      <c r="C25" s="17"/>
    </row>
    <row r="26" spans="1:3">
      <c r="A26" s="24"/>
      <c r="B26" s="10"/>
      <c r="C26" s="17"/>
    </row>
    <row r="27" spans="1:3">
      <c r="A27" s="26"/>
      <c r="B27" s="27"/>
      <c r="C27" s="28"/>
    </row>
  </sheetData>
  <mergeCells count="2">
    <mergeCell ref="A1:C1"/>
    <mergeCell ref="A2:C2"/>
  </mergeCells>
  <conditionalFormatting sqref="A5:C27">
    <cfRule type="expression" dxfId="5" priority="1">
      <formula>IFERROR(AND($A5&lt;&gt;"",$A4&lt;&gt;"",EOMONTH($A5,0)&lt;&gt;EOMONTH($A4,0)),FALSE)</formula>
    </cfRule>
  </conditionalFormatting>
  <dataValidations count="1">
    <dataValidation type="whole" operator="greaterThanOrEqual" sqref="C5:C27" xr:uid="{00000000-0002-0000-0400-000002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_Lists!$B$2:$B$97</xm:f>
          </x14:formula1>
          <xm:sqref>B5:B27</xm:sqref>
        </x14:dataValidation>
        <x14:dataValidation type="list" xr:uid="{00000000-0002-0000-0400-000000000000}">
          <x14:formula1>
            <xm:f>_Lists!$C$2:$C$13</xm:f>
          </x14:formula1>
          <xm:sqref>A5:A27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71A0-65D7-4DE9-B44C-6D177CFA38F3}">
  <dimension ref="A1:L28"/>
  <sheetViews>
    <sheetView showGridLines="0" workbookViewId="0">
      <selection activeCell="G26" sqref="G26"/>
    </sheetView>
  </sheetViews>
  <sheetFormatPr defaultRowHeight="13.8"/>
  <cols>
    <col min="1" max="1" width="24" customWidth="1"/>
    <col min="2" max="2" width="15" customWidth="1"/>
    <col min="3" max="5" width="17" customWidth="1"/>
    <col min="6" max="6" width="3" customWidth="1"/>
    <col min="7" max="7" width="27" customWidth="1"/>
    <col min="8" max="10" width="16" customWidth="1"/>
    <col min="11" max="11" width="3" customWidth="1"/>
    <col min="12" max="12" width="16" customWidth="1"/>
  </cols>
  <sheetData>
    <row r="1" spans="1:12" ht="34.049999999999997" customHeight="1">
      <c r="A1" s="59" t="s">
        <v>134</v>
      </c>
      <c r="B1" s="59" t="s">
        <v>134</v>
      </c>
      <c r="C1" s="59" t="s">
        <v>134</v>
      </c>
      <c r="D1" s="59" t="s">
        <v>134</v>
      </c>
      <c r="E1" s="59" t="s">
        <v>134</v>
      </c>
      <c r="F1" s="59" t="s">
        <v>134</v>
      </c>
      <c r="G1" s="59" t="s">
        <v>134</v>
      </c>
      <c r="H1" s="59" t="s">
        <v>134</v>
      </c>
      <c r="I1" s="59" t="s">
        <v>134</v>
      </c>
      <c r="J1" s="59" t="s">
        <v>134</v>
      </c>
      <c r="K1" s="59" t="s">
        <v>134</v>
      </c>
      <c r="L1" s="59" t="s">
        <v>134</v>
      </c>
    </row>
    <row r="2" spans="1:12" ht="14.4">
      <c r="A2" s="74" t="s">
        <v>135</v>
      </c>
      <c r="B2" s="74" t="s">
        <v>135</v>
      </c>
      <c r="C2" s="74" t="s">
        <v>135</v>
      </c>
      <c r="D2" s="74" t="s">
        <v>135</v>
      </c>
      <c r="E2" s="74" t="s">
        <v>135</v>
      </c>
      <c r="F2" s="74" t="s">
        <v>135</v>
      </c>
      <c r="G2" s="74" t="s">
        <v>135</v>
      </c>
      <c r="H2" s="74" t="s">
        <v>135</v>
      </c>
      <c r="I2" s="75" t="s">
        <v>136</v>
      </c>
      <c r="J2" s="75" t="s">
        <v>136</v>
      </c>
      <c r="K2" s="75" t="s">
        <v>136</v>
      </c>
      <c r="L2" s="44">
        <v>46266</v>
      </c>
    </row>
    <row r="3" spans="1:12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>
      <c r="A4" s="76" t="s">
        <v>137</v>
      </c>
      <c r="B4" s="77" t="s">
        <v>137</v>
      </c>
      <c r="C4" s="77" t="s">
        <v>137</v>
      </c>
      <c r="D4" s="77" t="s">
        <v>138</v>
      </c>
      <c r="E4" s="77" t="s">
        <v>138</v>
      </c>
      <c r="F4" s="77" t="s">
        <v>138</v>
      </c>
      <c r="G4" s="77" t="s">
        <v>139</v>
      </c>
      <c r="H4" s="77" t="s">
        <v>139</v>
      </c>
      <c r="I4" s="77" t="s">
        <v>139</v>
      </c>
      <c r="J4" s="77" t="s">
        <v>140</v>
      </c>
      <c r="K4" s="77" t="s">
        <v>140</v>
      </c>
      <c r="L4" s="80" t="s">
        <v>140</v>
      </c>
    </row>
    <row r="5" spans="1:12" ht="22.8">
      <c r="A5" s="78">
        <f>SUMIFS(Transactions!$C$5:$C$2001,Transactions!$I$5:$I$2001,"OK",Transactions!$B$5:$B$2001,"Income",Transactions!$A$5:$A$2001,"&gt;="&amp;$L$2,Transactions!$A$5:$A$2001,"&lt;"&amp;EDATE($L$2,1))</f>
        <v>3000000</v>
      </c>
      <c r="B5" s="79"/>
      <c r="C5" s="79"/>
      <c r="D5" s="79">
        <f>SUMIFS(Transactions!$C$5:$C$2001,Transactions!$I$5:$I$2001,"OK",Transactions!$B$5:$B$2001,"Expense",Transactions!$A$5:$A$2001,"&gt;="&amp;$L$2,Transactions!$A$5:$A$2001,"&lt;"&amp;EDATE($L$2,1))-SUMIFS(Transactions!$C$5:$C$2001,Transactions!$I$5:$I$2001,"OK",Transactions!$B$5:$B$2001,"Refund",Transactions!$A$5:$A$2001,"&gt;="&amp;$L$2,Transactions!$A$5:$A$2001,"&lt;"&amp;EDATE($L$2,1))</f>
        <v>640000</v>
      </c>
      <c r="E5" s="79"/>
      <c r="F5" s="79"/>
      <c r="G5" s="79">
        <f>SUMIFS(Transactions!$C$5:$C$2001,Transactions!$I$5:$I$2001,"OK",Transactions!$B$5:$B$2001,"Income",Transactions!$A$5:$A$2001,"&gt;="&amp;$L$2,Transactions!$A$5:$A$2001,"&lt;"&amp;EDATE($L$2,1))-(SUMIFS(Transactions!$C$5:$C$2001,Transactions!$I$5:$I$2001,"OK",Transactions!$B$5:$B$2001,"Expense",Transactions!$A$5:$A$2001,"&gt;="&amp;$L$2,Transactions!$A$5:$A$2001,"&lt;"&amp;EDATE($L$2,1))-SUMIFS(Transactions!$C$5:$C$2001,Transactions!$I$5:$I$2001,"OK",Transactions!$B$5:$B$2001,"Refund",Transactions!$A$5:$A$2001,"&gt;="&amp;$L$2,Transactions!$A$5:$A$2001,"&lt;"&amp;EDATE($L$2,1)))</f>
        <v>2360000</v>
      </c>
      <c r="H5" s="79"/>
      <c r="I5" s="79"/>
      <c r="J5" s="79">
        <f>SUMIFS(Transactions!$C$5:$C$2001,Transactions!$I$5:$I$2001,"OK",Transactions!$B$5:$B$2001,"Allocation",Transactions!$D$5:$D$2001,"&lt;&gt;",Transactions!$A$5:$A$2001,"&gt;="&amp;$L$2,Transactions!$A$5:$A$2001,"&lt;"&amp;EDATE($L$2,1))</f>
        <v>400000</v>
      </c>
      <c r="K5" s="79"/>
      <c r="L5" s="81"/>
    </row>
    <row r="6" spans="1:12">
      <c r="A6" s="83" t="s">
        <v>141</v>
      </c>
      <c r="B6" s="73" t="s">
        <v>141</v>
      </c>
      <c r="C6" s="73" t="s">
        <v>141</v>
      </c>
      <c r="D6" s="73" t="s">
        <v>142</v>
      </c>
      <c r="E6" s="73" t="s">
        <v>142</v>
      </c>
      <c r="F6" s="73" t="s">
        <v>142</v>
      </c>
      <c r="G6" s="73" t="s">
        <v>143</v>
      </c>
      <c r="H6" s="73" t="s">
        <v>143</v>
      </c>
      <c r="I6" s="73" t="s">
        <v>143</v>
      </c>
      <c r="J6" s="73" t="s">
        <v>144</v>
      </c>
      <c r="K6" s="73" t="s">
        <v>144</v>
      </c>
      <c r="L6" s="82" t="s">
        <v>144</v>
      </c>
    </row>
    <row r="7" spans="1:12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2">
      <c r="A8" s="76" t="s">
        <v>145</v>
      </c>
      <c r="B8" s="77" t="s">
        <v>145</v>
      </c>
      <c r="C8" s="77" t="s">
        <v>145</v>
      </c>
      <c r="D8" s="77" t="s">
        <v>146</v>
      </c>
      <c r="E8" s="77" t="s">
        <v>146</v>
      </c>
      <c r="F8" s="77" t="s">
        <v>146</v>
      </c>
      <c r="G8" s="77" t="s">
        <v>147</v>
      </c>
      <c r="H8" s="77" t="s">
        <v>147</v>
      </c>
      <c r="I8" s="77" t="s">
        <v>147</v>
      </c>
      <c r="J8" s="77" t="s">
        <v>148</v>
      </c>
      <c r="K8" s="77" t="s">
        <v>148</v>
      </c>
      <c r="L8" s="80" t="s">
        <v>148</v>
      </c>
    </row>
    <row r="9" spans="1:12" ht="22.8">
      <c r="A9" s="78">
        <f>SUMIFS(Accounts!$I$5:$I$50,Accounts!$D$5:$D$50,"Asset")</f>
        <v>3285000</v>
      </c>
      <c r="B9" s="79"/>
      <c r="C9" s="79"/>
      <c r="D9" s="79">
        <f>SUMIFS(Accounts!$I$5:$I$50,Accounts!$D$5:$D$50,"Liability")</f>
        <v>120000</v>
      </c>
      <c r="E9" s="79"/>
      <c r="F9" s="79"/>
      <c r="G9" s="79">
        <f>A9-D9</f>
        <v>3165000</v>
      </c>
      <c r="H9" s="79"/>
      <c r="I9" s="79"/>
      <c r="J9" s="84">
        <f>IFERROR(J5/SUMIFS('Monthly Plan'!$C$5:$C$199,'Monthly Plan'!$A$5:$A$199,$L$2,'Monthly Plan'!$B$5:$B$199,"Savings &amp; Investment"),0)</f>
        <v>0.8</v>
      </c>
      <c r="K9" s="84"/>
      <c r="L9" s="85"/>
    </row>
    <row r="10" spans="1:12">
      <c r="A10" s="83" t="s">
        <v>149</v>
      </c>
      <c r="B10" s="73" t="s">
        <v>149</v>
      </c>
      <c r="C10" s="73" t="s">
        <v>149</v>
      </c>
      <c r="D10" s="73" t="s">
        <v>197</v>
      </c>
      <c r="E10" s="73" t="s">
        <v>150</v>
      </c>
      <c r="F10" s="73" t="s">
        <v>150</v>
      </c>
      <c r="G10" s="73" t="s">
        <v>151</v>
      </c>
      <c r="H10" s="73" t="s">
        <v>151</v>
      </c>
      <c r="I10" s="73" t="s">
        <v>151</v>
      </c>
      <c r="J10" s="73" t="s">
        <v>152</v>
      </c>
      <c r="K10" s="73" t="s">
        <v>152</v>
      </c>
      <c r="L10" s="82" t="s">
        <v>152</v>
      </c>
    </row>
    <row r="11" spans="1:12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ht="24" customHeight="1">
      <c r="A12" s="63" t="s">
        <v>153</v>
      </c>
      <c r="B12" s="63" t="s">
        <v>153</v>
      </c>
      <c r="C12" s="63" t="s">
        <v>153</v>
      </c>
      <c r="D12" s="63" t="s">
        <v>153</v>
      </c>
      <c r="E12" s="63" t="s">
        <v>153</v>
      </c>
      <c r="F12" s="45"/>
      <c r="G12" s="63" t="s">
        <v>154</v>
      </c>
      <c r="H12" s="63" t="s">
        <v>154</v>
      </c>
      <c r="I12" s="63" t="s">
        <v>154</v>
      </c>
      <c r="J12" s="63" t="s">
        <v>154</v>
      </c>
      <c r="K12" s="45"/>
      <c r="L12" s="45"/>
    </row>
    <row r="13" spans="1:12" ht="28.05" customHeight="1">
      <c r="A13" s="5" t="s">
        <v>155</v>
      </c>
      <c r="B13" s="6" t="s">
        <v>156</v>
      </c>
      <c r="C13" s="6" t="s">
        <v>96</v>
      </c>
      <c r="D13" s="6" t="s">
        <v>94</v>
      </c>
      <c r="E13" s="6" t="s">
        <v>157</v>
      </c>
      <c r="F13" s="45"/>
      <c r="G13" s="6" t="s">
        <v>24</v>
      </c>
      <c r="H13" s="6" t="s">
        <v>158</v>
      </c>
      <c r="I13" s="6" t="s">
        <v>159</v>
      </c>
      <c r="J13" s="6" t="s">
        <v>160</v>
      </c>
      <c r="K13" s="45"/>
      <c r="L13" s="45"/>
    </row>
    <row r="14" spans="1:12">
      <c r="A14" s="46" t="str">
        <f>IF(Accounts!A5="","",Accounts!A5)</f>
        <v>Bank</v>
      </c>
      <c r="B14" s="46" t="str">
        <f>IF(Accounts!D5="","",Accounts!D5)</f>
        <v>Asset</v>
      </c>
      <c r="C14" s="47">
        <f>IF(COUNT(Accounts!E5)=0,"",Accounts!I5)</f>
        <v>3130000</v>
      </c>
      <c r="D14" s="47" t="str">
        <f>IF(COUNT(Accounts!G5)=0,"",Accounts!G5)</f>
        <v/>
      </c>
      <c r="E14" s="47" t="str">
        <f>IF(OR(B14&lt;&gt;"Liability",D14="",C14=""),"",D14-C14)</f>
        <v/>
      </c>
      <c r="F14" s="45"/>
      <c r="G14" s="46" t="str">
        <f>Categories!A7</f>
        <v>Groceries &amp; Essentials</v>
      </c>
      <c r="H14" s="47">
        <f>SUMIFS(Transactions!$C$5:$C$2001,Transactions!$I$5:$I$2001,"OK",Transactions!$B$5:$B$2001,"Expense",Transactions!$F$5:$F$2001,$G14,Transactions!$A$5:$A$2001,"&gt;="&amp;$L$2,Transactions!$A$5:$A$2001,"&lt;"&amp;EDATE($L$2,1))-SUMIFS(Transactions!$C$5:$C$2001,Transactions!$I$5:$I$2001,"OK",Transactions!$B$5:$B$2001,"Refund",Transactions!$F$5:$F$2001,$G14,Transactions!$A$5:$A$2001,"&gt;="&amp;$L$2,Transactions!$A$5:$A$2001,"&lt;"&amp;EDATE($L$2,1))</f>
        <v>450000</v>
      </c>
      <c r="I14" s="47">
        <f>SUMIFS('Monthly Plan'!$C$5:$C$199,'Monthly Plan'!$A$5:$A$199,$L$2,'Monthly Plan'!$B$5:$B$199,$G14)</f>
        <v>600000</v>
      </c>
      <c r="J14" s="47">
        <f t="shared" ref="J14:J26" si="0">H14-I14</f>
        <v>-150000</v>
      </c>
      <c r="K14" s="45"/>
      <c r="L14" s="45"/>
    </row>
    <row r="15" spans="1:12">
      <c r="A15" s="48" t="str">
        <f>IF(Accounts!A6="","",Accounts!A6)</f>
        <v>Wallet</v>
      </c>
      <c r="B15" s="48" t="str">
        <f>IF(Accounts!D6="","",Accounts!D6)</f>
        <v>Asset</v>
      </c>
      <c r="C15" s="49">
        <f>IF(COUNT(Accounts!E6)=0,"",Accounts!I6)</f>
        <v>155000</v>
      </c>
      <c r="D15" s="49" t="str">
        <f>IF(COUNT(Accounts!G6)=0,"",Accounts!G6)</f>
        <v/>
      </c>
      <c r="E15" s="49" t="str">
        <f>IF(OR(B15&lt;&gt;"Liability",D15="",C15=""),"",D15-C15)</f>
        <v/>
      </c>
      <c r="F15" s="45"/>
      <c r="G15" s="48" t="str">
        <f>Categories!A8</f>
        <v>Eating Out &amp; Drinks</v>
      </c>
      <c r="H15" s="49">
        <f>SUMIFS(Transactions!$C$5:$C$2001,Transactions!$I$5:$I$2001,"OK",Transactions!$B$5:$B$2001,"Expense",Transactions!$F$5:$F$2001,$G15,Transactions!$A$5:$A$2001,"&gt;="&amp;$L$2,Transactions!$A$5:$A$2001,"&lt;"&amp;EDATE($L$2,1))-SUMIFS(Transactions!$C$5:$C$2001,Transactions!$I$5:$I$2001,"OK",Transactions!$B$5:$B$2001,"Refund",Transactions!$F$5:$F$2001,$G15,Transactions!$A$5:$A$2001,"&gt;="&amp;$L$2,Transactions!$A$5:$A$2001,"&lt;"&amp;EDATE($L$2,1))</f>
        <v>0</v>
      </c>
      <c r="I15" s="49">
        <f>SUMIFS('Monthly Plan'!$C$5:$C$199,'Monthly Plan'!$A$5:$A$199,$L$2,'Monthly Plan'!$B$5:$B$199,$G15)</f>
        <v>0</v>
      </c>
      <c r="J15" s="49">
        <f t="shared" si="0"/>
        <v>0</v>
      </c>
      <c r="K15" s="45"/>
      <c r="L15" s="45"/>
    </row>
    <row r="16" spans="1:12">
      <c r="A16" s="48" t="str">
        <f>IF(Accounts!A7="","",Accounts!A7)</f>
        <v>Credit Card</v>
      </c>
      <c r="B16" s="48" t="str">
        <f>IF(Accounts!D7="","",Accounts!D7)</f>
        <v>Liability</v>
      </c>
      <c r="C16" s="49">
        <f>IF(COUNT(Accounts!E7)=0,"",Accounts!I7)</f>
        <v>120000</v>
      </c>
      <c r="D16" s="49">
        <f>IF(COUNT(Accounts!G7)=0,"",Accounts!G7)</f>
        <v>2000000</v>
      </c>
      <c r="E16" s="49">
        <f>IF(OR(B16&lt;&gt;"Liability",D16="",C16=""),"",D16-C16)</f>
        <v>1880000</v>
      </c>
      <c r="F16" s="45"/>
      <c r="G16" s="48" t="str">
        <f>Categories!A9</f>
        <v>Transport</v>
      </c>
      <c r="H16" s="49">
        <f>SUMIFS(Transactions!$C$5:$C$2001,Transactions!$I$5:$I$2001,"OK",Transactions!$B$5:$B$2001,"Expense",Transactions!$F$5:$F$2001,$G16,Transactions!$A$5:$A$2001,"&gt;="&amp;$L$2,Transactions!$A$5:$A$2001,"&lt;"&amp;EDATE($L$2,1))-SUMIFS(Transactions!$C$5:$C$2001,Transactions!$I$5:$I$2001,"OK",Transactions!$B$5:$B$2001,"Refund",Transactions!$F$5:$F$2001,$G16,Transactions!$A$5:$A$2001,"&gt;="&amp;$L$2,Transactions!$A$5:$A$2001,"&lt;"&amp;EDATE($L$2,1))</f>
        <v>0</v>
      </c>
      <c r="I16" s="49">
        <f>SUMIFS('Monthly Plan'!$C$5:$C$199,'Monthly Plan'!$A$5:$A$199,$L$2,'Monthly Plan'!$B$5:$B$199,$G16)</f>
        <v>0</v>
      </c>
      <c r="J16" s="49">
        <f t="shared" si="0"/>
        <v>0</v>
      </c>
      <c r="K16" s="45"/>
      <c r="L16" s="45"/>
    </row>
    <row r="17" spans="1:12">
      <c r="A17" s="48" t="str">
        <f>IF(Accounts!A8="","",Accounts!A8)</f>
        <v/>
      </c>
      <c r="B17" s="48" t="str">
        <f>IF(Accounts!D8="","",Accounts!D8)</f>
        <v/>
      </c>
      <c r="C17" s="49" t="str">
        <f>IF(COUNT(Accounts!E8)=0,"",Accounts!I8)</f>
        <v/>
      </c>
      <c r="D17" s="49" t="str">
        <f>IF(COUNT(Accounts!G8)=0,"",Accounts!G8)</f>
        <v/>
      </c>
      <c r="E17" s="49" t="str">
        <f>IF(OR(B17&lt;&gt;"Liability",D17="",C17=""),"",D17-C17)</f>
        <v/>
      </c>
      <c r="F17" s="45"/>
      <c r="G17" s="48" t="str">
        <f>Categories!A10</f>
        <v>Housing</v>
      </c>
      <c r="H17" s="49">
        <f>SUMIFS(Transactions!$C$5:$C$2001,Transactions!$I$5:$I$2001,"OK",Transactions!$B$5:$B$2001,"Expense",Transactions!$F$5:$F$2001,$G17,Transactions!$A$5:$A$2001,"&gt;="&amp;$L$2,Transactions!$A$5:$A$2001,"&lt;"&amp;EDATE($L$2,1))-SUMIFS(Transactions!$C$5:$C$2001,Transactions!$I$5:$I$2001,"OK",Transactions!$B$5:$B$2001,"Refund",Transactions!$F$5:$F$2001,$G17,Transactions!$A$5:$A$2001,"&gt;="&amp;$L$2,Transactions!$A$5:$A$2001,"&lt;"&amp;EDATE($L$2,1))</f>
        <v>0</v>
      </c>
      <c r="I17" s="49">
        <f>SUMIFS('Monthly Plan'!$C$5:$C$199,'Monthly Plan'!$A$5:$A$199,$L$2,'Monthly Plan'!$B$5:$B$199,$G17)</f>
        <v>0</v>
      </c>
      <c r="J17" s="49">
        <f t="shared" si="0"/>
        <v>0</v>
      </c>
      <c r="K17" s="45"/>
      <c r="L17" s="45"/>
    </row>
    <row r="18" spans="1:12">
      <c r="A18" s="50" t="str">
        <f>IF(Accounts!A9="","",Accounts!A9)</f>
        <v/>
      </c>
      <c r="B18" s="50" t="str">
        <f>IF(Accounts!D9="","",Accounts!D9)</f>
        <v/>
      </c>
      <c r="C18" s="51" t="str">
        <f>IF(COUNT(Accounts!E9)=0,"",Accounts!I9)</f>
        <v/>
      </c>
      <c r="D18" s="51" t="str">
        <f>IF(COUNT(Accounts!G9)=0,"",Accounts!G9)</f>
        <v/>
      </c>
      <c r="E18" s="51" t="str">
        <f>IF(OR(B18&lt;&gt;"Liability",D18="",C18=""),"",D18-C18)</f>
        <v/>
      </c>
      <c r="F18" s="45"/>
      <c r="G18" s="48" t="str">
        <f>Categories!A11</f>
        <v>Utilities &amp; Mobile</v>
      </c>
      <c r="H18" s="49">
        <f>SUMIFS(Transactions!$C$5:$C$2001,Transactions!$I$5:$I$2001,"OK",Transactions!$B$5:$B$2001,"Expense",Transactions!$F$5:$F$2001,$G18,Transactions!$A$5:$A$2001,"&gt;="&amp;$L$2,Transactions!$A$5:$A$2001,"&lt;"&amp;EDATE($L$2,1))-SUMIFS(Transactions!$C$5:$C$2001,Transactions!$I$5:$I$2001,"OK",Transactions!$B$5:$B$2001,"Refund",Transactions!$F$5:$F$2001,$G18,Transactions!$A$5:$A$2001,"&gt;="&amp;$L$2,Transactions!$A$5:$A$2001,"&lt;"&amp;EDATE($L$2,1))</f>
        <v>0</v>
      </c>
      <c r="I18" s="49">
        <f>SUMIFS('Monthly Plan'!$C$5:$C$199,'Monthly Plan'!$A$5:$A$199,$L$2,'Monthly Plan'!$B$5:$B$199,$G18)</f>
        <v>0</v>
      </c>
      <c r="J18" s="49">
        <f t="shared" si="0"/>
        <v>0</v>
      </c>
      <c r="K18" s="45"/>
      <c r="L18" s="45"/>
    </row>
    <row r="19" spans="1:12">
      <c r="A19" s="45"/>
      <c r="B19" s="45"/>
      <c r="C19" s="45"/>
      <c r="D19" s="45"/>
      <c r="E19" s="45"/>
      <c r="F19" s="45"/>
      <c r="G19" s="48" t="str">
        <f>Categories!A12</f>
        <v>Education &amp; Career</v>
      </c>
      <c r="H19" s="49">
        <f>SUMIFS(Transactions!$C$5:$C$2001,Transactions!$I$5:$I$2001,"OK",Transactions!$B$5:$B$2001,"Expense",Transactions!$F$5:$F$2001,$G19,Transactions!$A$5:$A$2001,"&gt;="&amp;$L$2,Transactions!$A$5:$A$2001,"&lt;"&amp;EDATE($L$2,1))-SUMIFS(Transactions!$C$5:$C$2001,Transactions!$I$5:$I$2001,"OK",Transactions!$B$5:$B$2001,"Refund",Transactions!$F$5:$F$2001,$G19,Transactions!$A$5:$A$2001,"&gt;="&amp;$L$2,Transactions!$A$5:$A$2001,"&lt;"&amp;EDATE($L$2,1))</f>
        <v>0</v>
      </c>
      <c r="I19" s="49">
        <f>SUMIFS('Monthly Plan'!$C$5:$C$199,'Monthly Plan'!$A$5:$A$199,$L$2,'Monthly Plan'!$B$5:$B$199,$G19)</f>
        <v>0</v>
      </c>
      <c r="J19" s="49">
        <f t="shared" si="0"/>
        <v>0</v>
      </c>
      <c r="K19" s="45"/>
      <c r="L19" s="45"/>
    </row>
    <row r="20" spans="1:12">
      <c r="A20" s="45"/>
      <c r="B20" s="45"/>
      <c r="C20" s="45"/>
      <c r="D20" s="45"/>
      <c r="E20" s="45"/>
      <c r="F20" s="45"/>
      <c r="G20" s="48" t="str">
        <f>Categories!A13</f>
        <v>Health</v>
      </c>
      <c r="H20" s="49">
        <f>SUMIFS(Transactions!$C$5:$C$2001,Transactions!$I$5:$I$2001,"OK",Transactions!$B$5:$B$2001,"Expense",Transactions!$F$5:$F$2001,$G20,Transactions!$A$5:$A$2001,"&gt;="&amp;$L$2,Transactions!$A$5:$A$2001,"&lt;"&amp;EDATE($L$2,1))-SUMIFS(Transactions!$C$5:$C$2001,Transactions!$I$5:$I$2001,"OK",Transactions!$B$5:$B$2001,"Refund",Transactions!$F$5:$F$2001,$G20,Transactions!$A$5:$A$2001,"&gt;="&amp;$L$2,Transactions!$A$5:$A$2001,"&lt;"&amp;EDATE($L$2,1))</f>
        <v>0</v>
      </c>
      <c r="I20" s="49">
        <f>SUMIFS('Monthly Plan'!$C$5:$C$199,'Monthly Plan'!$A$5:$A$199,$L$2,'Monthly Plan'!$B$5:$B$199,$G20)</f>
        <v>0</v>
      </c>
      <c r="J20" s="49">
        <f t="shared" si="0"/>
        <v>0</v>
      </c>
      <c r="K20" s="45"/>
      <c r="L20" s="45"/>
    </row>
    <row r="21" spans="1:12">
      <c r="A21" s="45"/>
      <c r="B21" s="45"/>
      <c r="C21" s="45"/>
      <c r="D21" s="45"/>
      <c r="E21" s="45"/>
      <c r="F21" s="45"/>
      <c r="G21" s="48" t="str">
        <f>Categories!A14</f>
        <v>Shopping</v>
      </c>
      <c r="H21" s="49">
        <f>SUMIFS(Transactions!$C$5:$C$2001,Transactions!$I$5:$I$2001,"OK",Transactions!$B$5:$B$2001,"Expense",Transactions!$F$5:$F$2001,$G21,Transactions!$A$5:$A$2001,"&gt;="&amp;$L$2,Transactions!$A$5:$A$2001,"&lt;"&amp;EDATE($L$2,1))-SUMIFS(Transactions!$C$5:$C$2001,Transactions!$I$5:$I$2001,"OK",Transactions!$B$5:$B$2001,"Refund",Transactions!$F$5:$F$2001,$G21,Transactions!$A$5:$A$2001,"&gt;="&amp;$L$2,Transactions!$A$5:$A$2001,"&lt;"&amp;EDATE($L$2,1))</f>
        <v>180000</v>
      </c>
      <c r="I21" s="49">
        <f>SUMIFS('Monthly Plan'!$C$5:$C$199,'Monthly Plan'!$A$5:$A$199,$L$2,'Monthly Plan'!$B$5:$B$199,$G21)</f>
        <v>250000</v>
      </c>
      <c r="J21" s="49">
        <f t="shared" si="0"/>
        <v>-70000</v>
      </c>
      <c r="K21" s="45"/>
      <c r="L21" s="45"/>
    </row>
    <row r="22" spans="1:12">
      <c r="A22" s="45"/>
      <c r="B22" s="45"/>
      <c r="C22" s="45"/>
      <c r="D22" s="45"/>
      <c r="E22" s="45"/>
      <c r="F22" s="45"/>
      <c r="G22" s="48" t="str">
        <f>Categories!A15</f>
        <v>Entertainment &amp; Social</v>
      </c>
      <c r="H22" s="49">
        <f>SUMIFS(Transactions!$C$5:$C$2001,Transactions!$I$5:$I$2001,"OK",Transactions!$B$5:$B$2001,"Expense",Transactions!$F$5:$F$2001,$G22,Transactions!$A$5:$A$2001,"&gt;="&amp;$L$2,Transactions!$A$5:$A$2001,"&lt;"&amp;EDATE($L$2,1))-SUMIFS(Transactions!$C$5:$C$2001,Transactions!$I$5:$I$2001,"OK",Transactions!$B$5:$B$2001,"Refund",Transactions!$F$5:$F$2001,$G22,Transactions!$A$5:$A$2001,"&gt;="&amp;$L$2,Transactions!$A$5:$A$2001,"&lt;"&amp;EDATE($L$2,1))</f>
        <v>0</v>
      </c>
      <c r="I22" s="49">
        <f>SUMIFS('Monthly Plan'!$C$5:$C$199,'Monthly Plan'!$A$5:$A$199,$L$2,'Monthly Plan'!$B$5:$B$199,$G22)</f>
        <v>0</v>
      </c>
      <c r="J22" s="49">
        <f t="shared" si="0"/>
        <v>0</v>
      </c>
      <c r="K22" s="45"/>
      <c r="L22" s="45"/>
    </row>
    <row r="23" spans="1:12">
      <c r="A23" s="45"/>
      <c r="B23" s="45"/>
      <c r="C23" s="45"/>
      <c r="D23" s="45"/>
      <c r="E23" s="45"/>
      <c r="F23" s="45"/>
      <c r="G23" s="48" t="str">
        <f>Categories!A16</f>
        <v>Subscriptions</v>
      </c>
      <c r="H23" s="49">
        <f>SUMIFS(Transactions!$C$5:$C$2001,Transactions!$I$5:$I$2001,"OK",Transactions!$B$5:$B$2001,"Expense",Transactions!$F$5:$F$2001,$G23,Transactions!$A$5:$A$2001,"&gt;="&amp;$L$2,Transactions!$A$5:$A$2001,"&lt;"&amp;EDATE($L$2,1))-SUMIFS(Transactions!$C$5:$C$2001,Transactions!$I$5:$I$2001,"OK",Transactions!$B$5:$B$2001,"Refund",Transactions!$F$5:$F$2001,$G23,Transactions!$A$5:$A$2001,"&gt;="&amp;$L$2,Transactions!$A$5:$A$2001,"&lt;"&amp;EDATE($L$2,1))</f>
        <v>0</v>
      </c>
      <c r="I23" s="49">
        <f>SUMIFS('Monthly Plan'!$C$5:$C$199,'Monthly Plan'!$A$5:$A$199,$L$2,'Monthly Plan'!$B$5:$B$199,$G23)</f>
        <v>0</v>
      </c>
      <c r="J23" s="49">
        <f t="shared" si="0"/>
        <v>0</v>
      </c>
      <c r="K23" s="45"/>
      <c r="L23" s="45"/>
    </row>
    <row r="24" spans="1:12">
      <c r="A24" s="45"/>
      <c r="B24" s="45"/>
      <c r="C24" s="45"/>
      <c r="D24" s="45"/>
      <c r="E24" s="45"/>
      <c r="F24" s="45"/>
      <c r="G24" s="48" t="str">
        <f>Categories!A17</f>
        <v>Family &amp; Gifts</v>
      </c>
      <c r="H24" s="49">
        <f>SUMIFS(Transactions!$C$5:$C$2001,Transactions!$I$5:$I$2001,"OK",Transactions!$B$5:$B$2001,"Expense",Transactions!$F$5:$F$2001,$G24,Transactions!$A$5:$A$2001,"&gt;="&amp;$L$2,Transactions!$A$5:$A$2001,"&lt;"&amp;EDATE($L$2,1))-SUMIFS(Transactions!$C$5:$C$2001,Transactions!$I$5:$I$2001,"OK",Transactions!$B$5:$B$2001,"Refund",Transactions!$F$5:$F$2001,$G24,Transactions!$A$5:$A$2001,"&gt;="&amp;$L$2,Transactions!$A$5:$A$2001,"&lt;"&amp;EDATE($L$2,1))</f>
        <v>0</v>
      </c>
      <c r="I24" s="49">
        <f>SUMIFS('Monthly Plan'!$C$5:$C$199,'Monthly Plan'!$A$5:$A$199,$L$2,'Monthly Plan'!$B$5:$B$199,$G24)</f>
        <v>0</v>
      </c>
      <c r="J24" s="49">
        <f t="shared" si="0"/>
        <v>0</v>
      </c>
      <c r="K24" s="45"/>
      <c r="L24" s="45"/>
    </row>
    <row r="25" spans="1:12">
      <c r="A25" s="45"/>
      <c r="B25" s="45"/>
      <c r="C25" s="45"/>
      <c r="D25" s="45"/>
      <c r="E25" s="45"/>
      <c r="F25" s="45"/>
      <c r="G25" s="48" t="str">
        <f>Categories!A18</f>
        <v>Fees &amp; Interest</v>
      </c>
      <c r="H25" s="49">
        <f>SUMIFS(Transactions!$C$5:$C$2001,Transactions!$I$5:$I$2001,"OK",Transactions!$B$5:$B$2001,"Expense",Transactions!$F$5:$F$2001,$G25,Transactions!$A$5:$A$2001,"&gt;="&amp;$L$2,Transactions!$A$5:$A$2001,"&lt;"&amp;EDATE($L$2,1))-SUMIFS(Transactions!$C$5:$C$2001,Transactions!$I$5:$I$2001,"OK",Transactions!$B$5:$B$2001,"Refund",Transactions!$F$5:$F$2001,$G25,Transactions!$A$5:$A$2001,"&gt;="&amp;$L$2,Transactions!$A$5:$A$2001,"&lt;"&amp;EDATE($L$2,1))</f>
        <v>10000</v>
      </c>
      <c r="I25" s="49">
        <f>SUMIFS('Monthly Plan'!$C$5:$C$199,'Monthly Plan'!$A$5:$A$199,$L$2,'Monthly Plan'!$B$5:$B$199,$G25)</f>
        <v>50000</v>
      </c>
      <c r="J25" s="49">
        <f t="shared" si="0"/>
        <v>-40000</v>
      </c>
      <c r="K25" s="45"/>
      <c r="L25" s="45"/>
    </row>
    <row r="26" spans="1:12">
      <c r="A26" s="45"/>
      <c r="B26" s="45"/>
      <c r="C26" s="45"/>
      <c r="D26" s="45"/>
      <c r="E26" s="45"/>
      <c r="F26" s="45"/>
      <c r="G26" s="50" t="str">
        <f>Categories!A19</f>
        <v>Other Expense</v>
      </c>
      <c r="H26" s="51">
        <f>SUMIFS(Transactions!$C$5:$C$2001,Transactions!$I$5:$I$2001,"OK",Transactions!$B$5:$B$2001,"Expense",Transactions!$F$5:$F$2001,$G26,Transactions!$A$5:$A$2001,"&gt;="&amp;$L$2,Transactions!$A$5:$A$2001,"&lt;"&amp;EDATE($L$2,1))-SUMIFS(Transactions!$C$5:$C$2001,Transactions!$I$5:$I$2001,"OK",Transactions!$B$5:$B$2001,"Refund",Transactions!$F$5:$F$2001,$G26,Transactions!$A$5:$A$2001,"&gt;="&amp;$L$2,Transactions!$A$5:$A$2001,"&lt;"&amp;EDATE($L$2,1))</f>
        <v>0</v>
      </c>
      <c r="I26" s="51">
        <f>SUMIFS('Monthly Plan'!$C$5:$C$199,'Monthly Plan'!$A$5:$A$199,$L$2,'Monthly Plan'!$B$5:$B$199,$G26)</f>
        <v>0</v>
      </c>
      <c r="J26" s="51">
        <f t="shared" si="0"/>
        <v>0</v>
      </c>
      <c r="K26" s="45"/>
      <c r="L26" s="45"/>
    </row>
    <row r="27" spans="1:12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12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</row>
  </sheetData>
  <mergeCells count="29">
    <mergeCell ref="G9:I9"/>
    <mergeCell ref="G10:I10"/>
    <mergeCell ref="A12:E12"/>
    <mergeCell ref="G12:J12"/>
    <mergeCell ref="J6:L6"/>
    <mergeCell ref="A8:C8"/>
    <mergeCell ref="A9:C9"/>
    <mergeCell ref="A10:C10"/>
    <mergeCell ref="D8:F8"/>
    <mergeCell ref="D9:F9"/>
    <mergeCell ref="D10:F10"/>
    <mergeCell ref="G8:I8"/>
    <mergeCell ref="J8:L8"/>
    <mergeCell ref="J9:L9"/>
    <mergeCell ref="J10:L10"/>
    <mergeCell ref="A6:C6"/>
    <mergeCell ref="D6:F6"/>
    <mergeCell ref="G6:I6"/>
    <mergeCell ref="A1:L1"/>
    <mergeCell ref="A2:H2"/>
    <mergeCell ref="I2:K2"/>
    <mergeCell ref="A4:C4"/>
    <mergeCell ref="A5:C5"/>
    <mergeCell ref="J4:L4"/>
    <mergeCell ref="J5:L5"/>
    <mergeCell ref="D4:F4"/>
    <mergeCell ref="D5:F5"/>
    <mergeCell ref="G4:I4"/>
    <mergeCell ref="G5:I5"/>
  </mergeCells>
  <conditionalFormatting sqref="J14:J26">
    <cfRule type="cellIs" dxfId="4" priority="3" operator="greaterThan">
      <formula>0</formula>
    </cfRule>
    <cfRule type="cellIs" dxfId="3" priority="4" operator="lessThanOrEqual">
      <formula>0</formula>
    </cfRule>
  </conditionalFormatting>
  <conditionalFormatting sqref="J9:L9">
    <cfRule type="cellIs" dxfId="2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_Lists!$C$2:$C$13</xm:f>
          </x14:formula1>
          <xm:sqref>L2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B16C-C75E-4D5D-B7F9-EA8F1C4B2867}">
  <dimension ref="A1:C97"/>
  <sheetViews>
    <sheetView showGridLines="0" workbookViewId="0">
      <selection activeCell="C5" sqref="C5"/>
    </sheetView>
  </sheetViews>
  <sheetFormatPr defaultRowHeight="13.8"/>
  <cols>
    <col min="1" max="3" width="28" customWidth="1"/>
  </cols>
  <sheetData>
    <row r="1" spans="1:3" ht="28.05" customHeight="1">
      <c r="A1" s="5" t="s">
        <v>161</v>
      </c>
      <c r="B1" s="6" t="s">
        <v>162</v>
      </c>
      <c r="C1" s="7" t="s">
        <v>163</v>
      </c>
    </row>
    <row r="2" spans="1:3">
      <c r="A2" t="str">
        <f>IF(Accounts!$H5="Yes",Accounts!$A5,"")</f>
        <v>Bank</v>
      </c>
      <c r="B2" t="str">
        <f>IF(Categories!$F5="Yes",Categories!$A5,"")</f>
        <v>Salary</v>
      </c>
      <c r="C2" s="52">
        <v>46266</v>
      </c>
    </row>
    <row r="3" spans="1:3">
      <c r="A3" t="str">
        <f>IF(Accounts!$H6="Yes",Accounts!$A6,"")</f>
        <v>Wallet</v>
      </c>
      <c r="B3" t="str">
        <f>IF(Categories!$F6="Yes",Categories!$A6,"")</f>
        <v>Other Income</v>
      </c>
      <c r="C3" s="52">
        <v>46296</v>
      </c>
    </row>
    <row r="4" spans="1:3">
      <c r="A4" t="str">
        <f>IF(Accounts!$H7="Yes",Accounts!$A7,"")</f>
        <v>Credit Card</v>
      </c>
      <c r="B4" t="str">
        <f>IF(Categories!$F7="Yes",Categories!$A7,"")</f>
        <v>Groceries &amp; Essentials</v>
      </c>
      <c r="C4" s="52">
        <v>46327</v>
      </c>
    </row>
    <row r="5" spans="1:3">
      <c r="A5" t="str">
        <f>IF(Accounts!$H8="Yes",Accounts!$A8,"")</f>
        <v/>
      </c>
      <c r="B5" t="str">
        <f>IF(Categories!$F8="Yes",Categories!$A8,"")</f>
        <v>Eating Out &amp; Drinks</v>
      </c>
      <c r="C5" s="52">
        <v>46357</v>
      </c>
    </row>
    <row r="6" spans="1:3">
      <c r="A6" t="str">
        <f>IF(Accounts!$H9="Yes",Accounts!$A9,"")</f>
        <v/>
      </c>
      <c r="B6" t="str">
        <f>IF(Categories!$F9="Yes",Categories!$A9,"")</f>
        <v>Transport</v>
      </c>
      <c r="C6" s="52">
        <v>46388</v>
      </c>
    </row>
    <row r="7" spans="1:3">
      <c r="A7" t="str">
        <f>IF(Accounts!$H10="Yes",Accounts!$A10,"")</f>
        <v/>
      </c>
      <c r="B7" t="str">
        <f>IF(Categories!$F10="Yes",Categories!$A10,"")</f>
        <v>Housing</v>
      </c>
      <c r="C7" s="52">
        <v>46419</v>
      </c>
    </row>
    <row r="8" spans="1:3">
      <c r="A8" t="str">
        <f>IF(Accounts!$H11="Yes",Accounts!$A11,"")</f>
        <v/>
      </c>
      <c r="B8" t="str">
        <f>IF(Categories!$F11="Yes",Categories!$A11,"")</f>
        <v>Utilities &amp; Mobile</v>
      </c>
      <c r="C8" s="52">
        <v>46447</v>
      </c>
    </row>
    <row r="9" spans="1:3">
      <c r="A9" t="str">
        <f>IF(Accounts!$H12="Yes",Accounts!$A12,"")</f>
        <v/>
      </c>
      <c r="B9" t="str">
        <f>IF(Categories!$F12="Yes",Categories!$A12,"")</f>
        <v>Education &amp; Career</v>
      </c>
      <c r="C9" s="52">
        <v>46478</v>
      </c>
    </row>
    <row r="10" spans="1:3">
      <c r="A10" t="str">
        <f>IF(Accounts!$H13="Yes",Accounts!$A13,"")</f>
        <v/>
      </c>
      <c r="B10" t="str">
        <f>IF(Categories!$F13="Yes",Categories!$A13,"")</f>
        <v>Health</v>
      </c>
      <c r="C10" s="52">
        <v>46508</v>
      </c>
    </row>
    <row r="11" spans="1:3">
      <c r="A11" t="str">
        <f>IF(Accounts!$H14="Yes",Accounts!$A14,"")</f>
        <v/>
      </c>
      <c r="B11" t="str">
        <f>IF(Categories!$F14="Yes",Categories!$A14,"")</f>
        <v>Shopping</v>
      </c>
      <c r="C11" s="52">
        <v>46539</v>
      </c>
    </row>
    <row r="12" spans="1:3">
      <c r="A12" t="str">
        <f>IF(Accounts!$H15="Yes",Accounts!$A15,"")</f>
        <v/>
      </c>
      <c r="B12" t="str">
        <f>IF(Categories!$F15="Yes",Categories!$A15,"")</f>
        <v>Entertainment &amp; Social</v>
      </c>
      <c r="C12" s="52">
        <v>46569</v>
      </c>
    </row>
    <row r="13" spans="1:3">
      <c r="A13" t="str">
        <f>IF(Accounts!$H16="Yes",Accounts!$A16,"")</f>
        <v/>
      </c>
      <c r="B13" t="str">
        <f>IF(Categories!$F16="Yes",Categories!$A16,"")</f>
        <v>Subscriptions</v>
      </c>
      <c r="C13" s="52">
        <v>46600</v>
      </c>
    </row>
    <row r="14" spans="1:3">
      <c r="A14" t="str">
        <f>IF(Accounts!$H17="Yes",Accounts!$A17,"")</f>
        <v/>
      </c>
      <c r="B14" t="str">
        <f>IF(Categories!$F17="Yes",Categories!$A17,"")</f>
        <v>Family &amp; Gifts</v>
      </c>
    </row>
    <row r="15" spans="1:3">
      <c r="A15" t="str">
        <f>IF(Accounts!$H18="Yes",Accounts!$A18,"")</f>
        <v/>
      </c>
      <c r="B15" t="str">
        <f>IF(Categories!$F18="Yes",Categories!$A18,"")</f>
        <v>Fees &amp; Interest</v>
      </c>
    </row>
    <row r="16" spans="1:3">
      <c r="A16" t="str">
        <f>IF(Accounts!$H19="Yes",Accounts!$A19,"")</f>
        <v/>
      </c>
      <c r="B16" t="str">
        <f>IF(Categories!$F19="Yes",Categories!$A19,"")</f>
        <v>Other Expense</v>
      </c>
    </row>
    <row r="17" spans="1:2">
      <c r="A17" t="str">
        <f>IF(Accounts!$H20="Yes",Accounts!$A20,"")</f>
        <v/>
      </c>
      <c r="B17" t="str">
        <f>IF(Categories!$F20="Yes",Categories!$A20,"")</f>
        <v>Savings &amp; Investment</v>
      </c>
    </row>
    <row r="18" spans="1:2">
      <c r="A18" t="str">
        <f>IF(Accounts!$H21="Yes",Accounts!$A21,"")</f>
        <v/>
      </c>
      <c r="B18" t="str">
        <f>IF(Categories!$F21="Yes",Categories!$A21,"")</f>
        <v/>
      </c>
    </row>
    <row r="19" spans="1:2">
      <c r="A19" t="str">
        <f>IF(Accounts!$H22="Yes",Accounts!$A22,"")</f>
        <v/>
      </c>
      <c r="B19" t="str">
        <f>IF(Categories!$F22="Yes",Categories!$A22,"")</f>
        <v/>
      </c>
    </row>
    <row r="20" spans="1:2">
      <c r="A20" t="str">
        <f>IF(Accounts!$H23="Yes",Accounts!$A23,"")</f>
        <v/>
      </c>
      <c r="B20" t="str">
        <f>IF(Categories!$F23="Yes",Categories!$A23,"")</f>
        <v/>
      </c>
    </row>
    <row r="21" spans="1:2">
      <c r="A21" t="str">
        <f>IF(Accounts!$H24="Yes",Accounts!$A24,"")</f>
        <v/>
      </c>
      <c r="B21" t="str">
        <f>IF(Categories!$F24="Yes",Categories!$A24,"")</f>
        <v/>
      </c>
    </row>
    <row r="22" spans="1:2">
      <c r="A22" t="str">
        <f>IF(Accounts!$H25="Yes",Accounts!$A25,"")</f>
        <v/>
      </c>
      <c r="B22" t="str">
        <f>IF(Categories!$F25="Yes",Categories!$A25,"")</f>
        <v/>
      </c>
    </row>
    <row r="23" spans="1:2">
      <c r="A23" t="str">
        <f>IF(Accounts!$H26="Yes",Accounts!$A26,"")</f>
        <v/>
      </c>
      <c r="B23" t="str">
        <f>IF(Categories!$F26="Yes",Categories!$A26,"")</f>
        <v/>
      </c>
    </row>
    <row r="24" spans="1:2">
      <c r="A24" t="str">
        <f>IF(Accounts!$H27="Yes",Accounts!$A27,"")</f>
        <v/>
      </c>
      <c r="B24" t="str">
        <f>IF(Categories!$F27="Yes",Categories!$A27,"")</f>
        <v/>
      </c>
    </row>
    <row r="25" spans="1:2">
      <c r="A25" t="str">
        <f>IF(Accounts!$H28="Yes",Accounts!$A28,"")</f>
        <v/>
      </c>
      <c r="B25" t="str">
        <f>IF(Categories!$F28="Yes",Categories!$A28,"")</f>
        <v/>
      </c>
    </row>
    <row r="26" spans="1:2">
      <c r="A26" t="str">
        <f>IF(Accounts!$H29="Yes",Accounts!$A29,"")</f>
        <v/>
      </c>
      <c r="B26" t="str">
        <f>IF(Categories!$F29="Yes",Categories!$A29,"")</f>
        <v/>
      </c>
    </row>
    <row r="27" spans="1:2">
      <c r="A27" t="str">
        <f>IF(Accounts!$H30="Yes",Accounts!$A30,"")</f>
        <v/>
      </c>
      <c r="B27" t="str">
        <f>IF(Categories!$F30="Yes",Categories!$A30,"")</f>
        <v/>
      </c>
    </row>
    <row r="28" spans="1:2">
      <c r="A28" t="str">
        <f>IF(Accounts!$H31="Yes",Accounts!$A31,"")</f>
        <v/>
      </c>
      <c r="B28" t="str">
        <f>IF(Categories!$F31="Yes",Categories!$A31,"")</f>
        <v/>
      </c>
    </row>
    <row r="29" spans="1:2">
      <c r="A29" t="str">
        <f>IF(Accounts!$H32="Yes",Accounts!$A32,"")</f>
        <v/>
      </c>
      <c r="B29" t="str">
        <f>IF(Categories!$F32="Yes",Categories!$A32,"")</f>
        <v/>
      </c>
    </row>
    <row r="30" spans="1:2">
      <c r="A30" t="str">
        <f>IF(Accounts!$H33="Yes",Accounts!$A33,"")</f>
        <v/>
      </c>
      <c r="B30" t="str">
        <f>IF(Categories!$F33="Yes",Categories!$A33,"")</f>
        <v/>
      </c>
    </row>
    <row r="31" spans="1:2">
      <c r="A31" t="str">
        <f>IF(Accounts!$H34="Yes",Accounts!$A34,"")</f>
        <v/>
      </c>
      <c r="B31" t="str">
        <f>IF(Categories!$F34="Yes",Categories!$A34,"")</f>
        <v/>
      </c>
    </row>
    <row r="32" spans="1:2">
      <c r="A32" t="str">
        <f>IF(Accounts!$H35="Yes",Accounts!$A35,"")</f>
        <v/>
      </c>
      <c r="B32" t="str">
        <f>IF(Categories!$F35="Yes",Categories!$A35,"")</f>
        <v/>
      </c>
    </row>
    <row r="33" spans="1:2">
      <c r="A33" t="str">
        <f>IF(Accounts!$H36="Yes",Accounts!$A36,"")</f>
        <v/>
      </c>
      <c r="B33" t="str">
        <f>IF(Categories!$F36="Yes",Categories!$A36,"")</f>
        <v/>
      </c>
    </row>
    <row r="34" spans="1:2">
      <c r="A34" t="str">
        <f>IF(Accounts!$H37="Yes",Accounts!$A37,"")</f>
        <v/>
      </c>
      <c r="B34" t="str">
        <f>IF(Categories!$F37="Yes",Categories!$A37,"")</f>
        <v/>
      </c>
    </row>
    <row r="35" spans="1:2">
      <c r="A35" t="str">
        <f>IF(Accounts!$H38="Yes",Accounts!$A38,"")</f>
        <v/>
      </c>
      <c r="B35" t="str">
        <f>IF(Categories!$F38="Yes",Categories!$A38,"")</f>
        <v/>
      </c>
    </row>
    <row r="36" spans="1:2">
      <c r="A36" t="str">
        <f>IF(Accounts!$H39="Yes",Accounts!$A39,"")</f>
        <v/>
      </c>
      <c r="B36" t="str">
        <f>IF(Categories!$F39="Yes",Categories!$A39,"")</f>
        <v/>
      </c>
    </row>
    <row r="37" spans="1:2">
      <c r="A37" t="str">
        <f>IF(Accounts!$H40="Yes",Accounts!$A40,"")</f>
        <v/>
      </c>
      <c r="B37" t="str">
        <f>IF(Categories!$F40="Yes",Categories!$A40,"")</f>
        <v/>
      </c>
    </row>
    <row r="38" spans="1:2">
      <c r="A38" t="str">
        <f>IF(Accounts!$H41="Yes",Accounts!$A41,"")</f>
        <v/>
      </c>
      <c r="B38" t="str">
        <f>IF(Categories!$F41="Yes",Categories!$A41,"")</f>
        <v/>
      </c>
    </row>
    <row r="39" spans="1:2">
      <c r="A39" t="str">
        <f>IF(Accounts!$H42="Yes",Accounts!$A42,"")</f>
        <v/>
      </c>
      <c r="B39" t="str">
        <f>IF(Categories!$F42="Yes",Categories!$A42,"")</f>
        <v/>
      </c>
    </row>
    <row r="40" spans="1:2">
      <c r="A40" t="str">
        <f>IF(Accounts!$H43="Yes",Accounts!$A43,"")</f>
        <v/>
      </c>
      <c r="B40" t="str">
        <f>IF(Categories!$F43="Yes",Categories!$A43,"")</f>
        <v/>
      </c>
    </row>
    <row r="41" spans="1:2">
      <c r="A41" t="str">
        <f>IF(Accounts!$H44="Yes",Accounts!$A44,"")</f>
        <v/>
      </c>
      <c r="B41" t="str">
        <f>IF(Categories!$F44="Yes",Categories!$A44,"")</f>
        <v/>
      </c>
    </row>
    <row r="42" spans="1:2">
      <c r="A42" t="str">
        <f>IF(Accounts!$H45="Yes",Accounts!$A45,"")</f>
        <v/>
      </c>
      <c r="B42" t="str">
        <f>IF(Categories!$F45="Yes",Categories!$A45,"")</f>
        <v/>
      </c>
    </row>
    <row r="43" spans="1:2">
      <c r="A43" t="str">
        <f>IF(Accounts!$H46="Yes",Accounts!$A46,"")</f>
        <v/>
      </c>
      <c r="B43" t="str">
        <f>IF(Categories!$F46="Yes",Categories!$A46,"")</f>
        <v/>
      </c>
    </row>
    <row r="44" spans="1:2">
      <c r="A44" t="str">
        <f>IF(Accounts!$H47="Yes",Accounts!$A47,"")</f>
        <v/>
      </c>
      <c r="B44" t="str">
        <f>IF(Categories!$F47="Yes",Categories!$A47,"")</f>
        <v/>
      </c>
    </row>
    <row r="45" spans="1:2">
      <c r="A45" t="str">
        <f>IF(Accounts!$H48="Yes",Accounts!$A48,"")</f>
        <v/>
      </c>
      <c r="B45" t="str">
        <f>IF(Categories!$F48="Yes",Categories!$A48,"")</f>
        <v/>
      </c>
    </row>
    <row r="46" spans="1:2">
      <c r="A46" t="str">
        <f>IF(Accounts!$H49="Yes",Accounts!$A49,"")</f>
        <v/>
      </c>
      <c r="B46" t="str">
        <f>IF(Categories!$F49="Yes",Categories!$A49,"")</f>
        <v/>
      </c>
    </row>
    <row r="47" spans="1:2">
      <c r="A47" t="str">
        <f>IF(Accounts!$H50="Yes",Accounts!$A50,"")</f>
        <v/>
      </c>
      <c r="B47" t="str">
        <f>IF(Categories!$F50="Yes",Categories!$A50,"")</f>
        <v/>
      </c>
    </row>
    <row r="48" spans="1:2">
      <c r="B48" t="str">
        <f>IF(Categories!$F51="Yes",Categories!$A51,"")</f>
        <v/>
      </c>
    </row>
    <row r="49" spans="2:2">
      <c r="B49" t="str">
        <f>IF(Categories!$F52="Yes",Categories!$A52,"")</f>
        <v/>
      </c>
    </row>
    <row r="50" spans="2:2">
      <c r="B50" t="str">
        <f>IF(Categories!$F53="Yes",Categories!$A53,"")</f>
        <v/>
      </c>
    </row>
    <row r="51" spans="2:2">
      <c r="B51" t="str">
        <f>IF(Categories!$F54="Yes",Categories!$A54,"")</f>
        <v/>
      </c>
    </row>
    <row r="52" spans="2:2">
      <c r="B52" t="str">
        <f>IF(Categories!$F55="Yes",Categories!$A55,"")</f>
        <v/>
      </c>
    </row>
    <row r="53" spans="2:2">
      <c r="B53" t="str">
        <f>IF(Categories!$F56="Yes",Categories!$A56,"")</f>
        <v/>
      </c>
    </row>
    <row r="54" spans="2:2">
      <c r="B54" t="str">
        <f>IF(Categories!$F57="Yes",Categories!$A57,"")</f>
        <v/>
      </c>
    </row>
    <row r="55" spans="2:2">
      <c r="B55" t="str">
        <f>IF(Categories!$F58="Yes",Categories!$A58,"")</f>
        <v/>
      </c>
    </row>
    <row r="56" spans="2:2">
      <c r="B56" t="str">
        <f>IF(Categories!$F59="Yes",Categories!$A59,"")</f>
        <v/>
      </c>
    </row>
    <row r="57" spans="2:2">
      <c r="B57" t="str">
        <f>IF(Categories!$F60="Yes",Categories!$A60,"")</f>
        <v/>
      </c>
    </row>
    <row r="58" spans="2:2">
      <c r="B58" t="str">
        <f>IF(Categories!$F61="Yes",Categories!$A61,"")</f>
        <v/>
      </c>
    </row>
    <row r="59" spans="2:2">
      <c r="B59" t="str">
        <f>IF(Categories!$F62="Yes",Categories!$A62,"")</f>
        <v/>
      </c>
    </row>
    <row r="60" spans="2:2">
      <c r="B60" t="str">
        <f>IF(Categories!$F63="Yes",Categories!$A63,"")</f>
        <v/>
      </c>
    </row>
    <row r="61" spans="2:2">
      <c r="B61" t="str">
        <f>IF(Categories!$F64="Yes",Categories!$A64,"")</f>
        <v/>
      </c>
    </row>
    <row r="62" spans="2:2">
      <c r="B62" t="str">
        <f>IF(Categories!$F65="Yes",Categories!$A65,"")</f>
        <v/>
      </c>
    </row>
    <row r="63" spans="2:2">
      <c r="B63" t="str">
        <f>IF(Categories!$F66="Yes",Categories!$A66,"")</f>
        <v/>
      </c>
    </row>
    <row r="64" spans="2:2">
      <c r="B64" t="str">
        <f>IF(Categories!$F67="Yes",Categories!$A67,"")</f>
        <v/>
      </c>
    </row>
    <row r="65" spans="2:2">
      <c r="B65" t="str">
        <f>IF(Categories!$F68="Yes",Categories!$A68,"")</f>
        <v/>
      </c>
    </row>
    <row r="66" spans="2:2">
      <c r="B66" t="str">
        <f>IF(Categories!$F69="Yes",Categories!$A69,"")</f>
        <v/>
      </c>
    </row>
    <row r="67" spans="2:2">
      <c r="B67" t="str">
        <f>IF(Categories!$F70="Yes",Categories!$A70,"")</f>
        <v/>
      </c>
    </row>
    <row r="68" spans="2:2">
      <c r="B68" t="str">
        <f>IF(Categories!$F71="Yes",Categories!$A71,"")</f>
        <v/>
      </c>
    </row>
    <row r="69" spans="2:2">
      <c r="B69" t="str">
        <f>IF(Categories!$F72="Yes",Categories!$A72,"")</f>
        <v/>
      </c>
    </row>
    <row r="70" spans="2:2">
      <c r="B70" t="str">
        <f>IF(Categories!$F73="Yes",Categories!$A73,"")</f>
        <v/>
      </c>
    </row>
    <row r="71" spans="2:2">
      <c r="B71" t="str">
        <f>IF(Categories!$F74="Yes",Categories!$A74,"")</f>
        <v/>
      </c>
    </row>
    <row r="72" spans="2:2">
      <c r="B72" t="str">
        <f>IF(Categories!$F75="Yes",Categories!$A75,"")</f>
        <v/>
      </c>
    </row>
    <row r="73" spans="2:2">
      <c r="B73" t="str">
        <f>IF(Categories!$F76="Yes",Categories!$A76,"")</f>
        <v/>
      </c>
    </row>
    <row r="74" spans="2:2">
      <c r="B74" t="str">
        <f>IF(Categories!$F77="Yes",Categories!$A77,"")</f>
        <v/>
      </c>
    </row>
    <row r="75" spans="2:2">
      <c r="B75" t="str">
        <f>IF(Categories!$F78="Yes",Categories!$A78,"")</f>
        <v/>
      </c>
    </row>
    <row r="76" spans="2:2">
      <c r="B76" t="str">
        <f>IF(Categories!$F79="Yes",Categories!$A79,"")</f>
        <v/>
      </c>
    </row>
    <row r="77" spans="2:2">
      <c r="B77" t="str">
        <f>IF(Categories!$F80="Yes",Categories!$A80,"")</f>
        <v/>
      </c>
    </row>
    <row r="78" spans="2:2">
      <c r="B78" t="str">
        <f>IF(Categories!$F81="Yes",Categories!$A81,"")</f>
        <v/>
      </c>
    </row>
    <row r="79" spans="2:2">
      <c r="B79" t="str">
        <f>IF(Categories!$F82="Yes",Categories!$A82,"")</f>
        <v/>
      </c>
    </row>
    <row r="80" spans="2:2">
      <c r="B80" t="str">
        <f>IF(Categories!$F83="Yes",Categories!$A83,"")</f>
        <v/>
      </c>
    </row>
    <row r="81" spans="2:2">
      <c r="B81" t="str">
        <f>IF(Categories!$F84="Yes",Categories!$A84,"")</f>
        <v/>
      </c>
    </row>
    <row r="82" spans="2:2">
      <c r="B82" t="str">
        <f>IF(Categories!$F85="Yes",Categories!$A85,"")</f>
        <v/>
      </c>
    </row>
    <row r="83" spans="2:2">
      <c r="B83" t="str">
        <f>IF(Categories!$F86="Yes",Categories!$A86,"")</f>
        <v/>
      </c>
    </row>
    <row r="84" spans="2:2">
      <c r="B84" t="str">
        <f>IF(Categories!$F87="Yes",Categories!$A87,"")</f>
        <v/>
      </c>
    </row>
    <row r="85" spans="2:2">
      <c r="B85" t="str">
        <f>IF(Categories!$F88="Yes",Categories!$A88,"")</f>
        <v/>
      </c>
    </row>
    <row r="86" spans="2:2">
      <c r="B86" t="str">
        <f>IF(Categories!$F89="Yes",Categories!$A89,"")</f>
        <v/>
      </c>
    </row>
    <row r="87" spans="2:2">
      <c r="B87" t="str">
        <f>IF(Categories!$F90="Yes",Categories!$A90,"")</f>
        <v/>
      </c>
    </row>
    <row r="88" spans="2:2">
      <c r="B88" t="str">
        <f>IF(Categories!$F91="Yes",Categories!$A91,"")</f>
        <v/>
      </c>
    </row>
    <row r="89" spans="2:2">
      <c r="B89" t="str">
        <f>IF(Categories!$F92="Yes",Categories!$A92,"")</f>
        <v/>
      </c>
    </row>
    <row r="90" spans="2:2">
      <c r="B90" t="str">
        <f>IF(Categories!$F93="Yes",Categories!$A93,"")</f>
        <v/>
      </c>
    </row>
    <row r="91" spans="2:2">
      <c r="B91" t="str">
        <f>IF(Categories!$F94="Yes",Categories!$A94,"")</f>
        <v/>
      </c>
    </row>
    <row r="92" spans="2:2">
      <c r="B92" t="str">
        <f>IF(Categories!$F95="Yes",Categories!$A95,"")</f>
        <v/>
      </c>
    </row>
    <row r="93" spans="2:2">
      <c r="B93" t="str">
        <f>IF(Categories!$F96="Yes",Categories!$A96,"")</f>
        <v/>
      </c>
    </row>
    <row r="94" spans="2:2">
      <c r="B94" t="str">
        <f>IF(Categories!$F97="Yes",Categories!$A97,"")</f>
        <v/>
      </c>
    </row>
    <row r="95" spans="2:2">
      <c r="B95" t="str">
        <f>IF(Categories!$F98="Yes",Categories!$A98,"")</f>
        <v/>
      </c>
    </row>
    <row r="96" spans="2:2">
      <c r="B96" t="str">
        <f>IF(Categories!$F99="Yes",Categories!$A99,"")</f>
        <v/>
      </c>
    </row>
    <row r="97" spans="2:2">
      <c r="B97" t="str">
        <f>IF(Categories!$F100="Yes",Categories!$A100,"")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</vt:lpstr>
      <vt:lpstr>Transactions</vt:lpstr>
      <vt:lpstr>Accounts</vt:lpstr>
      <vt:lpstr>Categories</vt:lpstr>
      <vt:lpstr>Monthly Plan</vt:lpstr>
      <vt:lpstr>Summary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Personal Finance Tracker - Synthetic Demo</dc:title>
  <dc:creator>minhhyiii-dot</dc:creator>
  <cp:lastModifiedBy>minhhyiii-dot</cp:lastModifiedBy>
  <dc:description>Fictional September 2026 fixture. No personal finance records.</dc:description>
</cp:coreProperties>
</file>